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ewaterengin-my.sharepoint.com/personal/elin_safewaterengineering_com/Documents/Documents/Michigan LCR compliance data/Analysis/"/>
    </mc:Choice>
  </mc:AlternateContent>
  <xr:revisionPtr revIDLastSave="0" documentId="8_{86B2D2E9-A541-48B3-BADA-19BEEF9F16D1}" xr6:coauthVersionLast="47" xr6:coauthVersionMax="47" xr10:uidLastSave="{00000000-0000-0000-0000-000000000000}"/>
  <bookViews>
    <workbookView xWindow="28680" yWindow="1560" windowWidth="29040" windowHeight="15720" xr2:uid="{EC9D3AD6-AED0-42E8-A6AF-88C321FFD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77" i="1" l="1"/>
  <c r="M1383" i="1"/>
  <c r="M1076" i="1"/>
  <c r="M1382" i="1"/>
  <c r="M1075" i="1"/>
  <c r="M1377" i="1"/>
  <c r="M1074" i="1"/>
  <c r="M1374" i="1"/>
  <c r="M1361" i="1"/>
  <c r="M1358" i="1"/>
  <c r="M1356" i="1"/>
  <c r="M1348" i="1"/>
  <c r="M1071" i="1"/>
  <c r="M1345" i="1"/>
  <c r="M1342" i="1"/>
  <c r="M1335" i="1"/>
  <c r="M1070" i="1"/>
  <c r="M1327" i="1"/>
  <c r="M1069" i="1"/>
  <c r="M1318" i="1"/>
  <c r="M1066" i="1"/>
  <c r="M1062" i="1"/>
  <c r="M1316" i="1"/>
  <c r="M1056" i="1"/>
  <c r="M1044" i="1"/>
  <c r="M1313" i="1"/>
  <c r="M1310" i="1"/>
  <c r="M1308" i="1"/>
  <c r="M1309" i="1"/>
  <c r="M1306" i="1"/>
  <c r="M1303" i="1"/>
  <c r="M1302" i="1"/>
  <c r="M1047" i="1"/>
  <c r="M1298" i="1"/>
  <c r="M1297" i="1"/>
  <c r="M1296" i="1"/>
  <c r="M1293" i="1"/>
  <c r="M1050" i="1"/>
  <c r="M1291" i="1"/>
  <c r="M1288" i="1"/>
  <c r="M1287" i="1"/>
  <c r="M1282" i="1"/>
  <c r="M1283" i="1"/>
  <c r="M1279" i="1"/>
  <c r="M1269" i="1"/>
  <c r="M1277" i="1"/>
  <c r="M1267" i="1"/>
  <c r="M133" i="1"/>
  <c r="M1042" i="1"/>
  <c r="M1038" i="1"/>
  <c r="M1264" i="1"/>
  <c r="M1258" i="1"/>
  <c r="M1037" i="1"/>
  <c r="M1250" i="1"/>
  <c r="M1256" i="1"/>
  <c r="M1237" i="1"/>
  <c r="M1034" i="1"/>
  <c r="M1029" i="1"/>
  <c r="M1025" i="1"/>
  <c r="M1024" i="1"/>
  <c r="M1020" i="1"/>
  <c r="M1017" i="1"/>
  <c r="M1235" i="1"/>
  <c r="M1016" i="1"/>
  <c r="M1013" i="1"/>
  <c r="M194" i="1"/>
  <c r="M1234" i="1"/>
  <c r="M1012" i="1"/>
  <c r="M1009" i="1"/>
  <c r="M1227" i="1"/>
  <c r="M1219" i="1"/>
  <c r="M1216" i="1"/>
  <c r="M1008" i="1"/>
  <c r="M1197" i="1"/>
  <c r="M1006" i="1"/>
  <c r="M1192" i="1"/>
  <c r="M1191" i="1"/>
  <c r="M1188" i="1"/>
  <c r="M983" i="1"/>
  <c r="M1187" i="1"/>
  <c r="M1186" i="1"/>
  <c r="M1185" i="1"/>
  <c r="M1184" i="1"/>
  <c r="M980" i="1"/>
  <c r="M1181" i="1"/>
  <c r="M1183" i="1"/>
  <c r="M1180" i="1"/>
  <c r="M976" i="1"/>
  <c r="M1179" i="1"/>
  <c r="M975" i="1"/>
  <c r="M266" i="1"/>
  <c r="M1178" i="1"/>
  <c r="M269" i="1"/>
  <c r="M972" i="1"/>
  <c r="M971" i="1"/>
  <c r="M969" i="1"/>
  <c r="M1177" i="1"/>
  <c r="M968" i="1"/>
  <c r="M1176" i="1"/>
  <c r="M1175" i="1"/>
  <c r="M1174" i="1"/>
  <c r="M1169" i="1"/>
  <c r="M1167" i="1"/>
  <c r="M967" i="1"/>
  <c r="M1164" i="1"/>
  <c r="M1162" i="1"/>
  <c r="M329" i="1"/>
  <c r="M965" i="1"/>
  <c r="M1160" i="1"/>
  <c r="M1158" i="1"/>
  <c r="M1157" i="1"/>
  <c r="M1154" i="1"/>
  <c r="M1148" i="1"/>
  <c r="M1147" i="1"/>
  <c r="M1146" i="1"/>
  <c r="M1133" i="1"/>
  <c r="M964" i="1"/>
  <c r="M1131" i="1"/>
  <c r="M959" i="1"/>
  <c r="M955" i="1"/>
  <c r="M948" i="1"/>
  <c r="M1128" i="1"/>
  <c r="M951" i="1"/>
  <c r="M1127" i="1"/>
  <c r="M1126" i="1"/>
  <c r="M1124" i="1"/>
  <c r="M1113" i="1"/>
  <c r="M1111" i="1"/>
  <c r="M1110" i="1"/>
  <c r="M1108" i="1"/>
  <c r="M1105" i="1"/>
  <c r="M1097" i="1"/>
  <c r="M1095" i="1"/>
  <c r="M1090" i="1"/>
  <c r="M1086" i="1"/>
  <c r="M946" i="1"/>
  <c r="M944" i="1"/>
  <c r="M1083" i="1"/>
  <c r="M942" i="1"/>
  <c r="M941" i="1"/>
  <c r="M939" i="1"/>
  <c r="M938" i="1"/>
  <c r="M930" i="1"/>
  <c r="M929" i="1"/>
  <c r="M927" i="1"/>
  <c r="M431" i="1"/>
  <c r="M926" i="1"/>
  <c r="M924" i="1"/>
  <c r="M909" i="1"/>
  <c r="M907" i="1"/>
  <c r="M906" i="1"/>
  <c r="M901" i="1"/>
  <c r="M451" i="1"/>
  <c r="M900" i="1"/>
  <c r="M893" i="1"/>
  <c r="M892" i="1"/>
  <c r="M890" i="1"/>
  <c r="M886" i="1"/>
  <c r="M885" i="1"/>
  <c r="M883" i="1"/>
  <c r="M882" i="1"/>
  <c r="M880" i="1"/>
  <c r="M484" i="1"/>
  <c r="M878" i="1"/>
  <c r="M874" i="1"/>
  <c r="M873" i="1"/>
  <c r="M872" i="1"/>
  <c r="M863" i="1"/>
  <c r="M862" i="1"/>
  <c r="M861" i="1"/>
  <c r="M858" i="1"/>
  <c r="M857" i="1"/>
  <c r="M856" i="1"/>
  <c r="M855" i="1"/>
  <c r="M854" i="1"/>
  <c r="M851" i="1"/>
  <c r="M847" i="1"/>
  <c r="M845" i="1"/>
  <c r="M838" i="1"/>
  <c r="M836" i="1"/>
  <c r="M833" i="1"/>
  <c r="M832" i="1"/>
  <c r="M830" i="1"/>
  <c r="M827" i="1"/>
  <c r="M826" i="1"/>
  <c r="M820" i="1"/>
  <c r="M816" i="1"/>
  <c r="M567" i="1"/>
  <c r="M815" i="1"/>
  <c r="M810" i="1"/>
  <c r="M807" i="1"/>
  <c r="M802" i="1"/>
  <c r="M590" i="1"/>
  <c r="M800" i="1"/>
  <c r="M796" i="1"/>
  <c r="M793" i="1"/>
  <c r="M791" i="1"/>
  <c r="M786" i="1"/>
  <c r="M784" i="1"/>
  <c r="M785" i="1"/>
  <c r="M773" i="1"/>
  <c r="M614" i="1"/>
  <c r="M767" i="1"/>
  <c r="M765" i="1"/>
  <c r="M762" i="1"/>
  <c r="M760" i="1"/>
  <c r="M759" i="1"/>
  <c r="M753" i="1"/>
  <c r="M752" i="1"/>
  <c r="M748" i="1"/>
  <c r="M746" i="1"/>
  <c r="M635" i="1"/>
  <c r="M744" i="1"/>
  <c r="M738" i="1"/>
  <c r="M737" i="1"/>
  <c r="M654" i="1"/>
  <c r="M728" i="1"/>
  <c r="M715" i="1"/>
  <c r="M714" i="1"/>
  <c r="M713" i="1"/>
  <c r="M712" i="1"/>
  <c r="M699" i="1"/>
  <c r="M696" i="1"/>
  <c r="M680" i="1"/>
  <c r="M678" i="1"/>
  <c r="M705" i="1"/>
  <c r="M676" i="1"/>
  <c r="M675" i="1"/>
  <c r="M674" i="1"/>
  <c r="M671" i="1"/>
  <c r="M656" i="1"/>
  <c r="M638" i="1"/>
  <c r="M653" i="1"/>
  <c r="M637" i="1"/>
  <c r="M634" i="1"/>
  <c r="M633" i="1"/>
  <c r="M631" i="1"/>
  <c r="M626" i="1"/>
  <c r="M625" i="1"/>
  <c r="M622" i="1"/>
  <c r="M620" i="1"/>
  <c r="M619" i="1"/>
  <c r="M618" i="1"/>
  <c r="M613" i="1"/>
  <c r="M782" i="1"/>
  <c r="M612" i="1"/>
  <c r="M611" i="1"/>
  <c r="M607" i="1"/>
  <c r="M603" i="1"/>
  <c r="M602" i="1"/>
  <c r="M598" i="1"/>
  <c r="M597" i="1"/>
  <c r="M801" i="1"/>
  <c r="M588" i="1"/>
  <c r="M586" i="1"/>
  <c r="M585" i="1"/>
  <c r="M584" i="1"/>
  <c r="M566" i="1"/>
  <c r="M562" i="1"/>
  <c r="M560" i="1"/>
  <c r="M559" i="1"/>
  <c r="M538" i="1"/>
  <c r="M536" i="1"/>
  <c r="M525" i="1"/>
  <c r="M519" i="1"/>
  <c r="M518" i="1"/>
  <c r="M517" i="1"/>
  <c r="M516" i="1"/>
  <c r="M849" i="1"/>
  <c r="M512" i="1"/>
  <c r="M514" i="1"/>
  <c r="M509" i="1"/>
  <c r="M507" i="1"/>
  <c r="M505" i="1"/>
  <c r="M504" i="1"/>
  <c r="M503" i="1"/>
  <c r="M501" i="1"/>
  <c r="M500" i="1"/>
  <c r="M489" i="1"/>
  <c r="M487" i="1"/>
  <c r="M486" i="1"/>
  <c r="M485" i="1"/>
  <c r="M482" i="1"/>
  <c r="M470" i="1"/>
  <c r="M468" i="1"/>
  <c r="M465" i="1"/>
  <c r="M461" i="1"/>
  <c r="M460" i="1"/>
  <c r="M459" i="1"/>
  <c r="M458" i="1"/>
  <c r="M457" i="1"/>
  <c r="M450" i="1"/>
  <c r="M449" i="1"/>
  <c r="M444" i="1"/>
  <c r="M442" i="1"/>
  <c r="M441" i="1"/>
  <c r="M435" i="1"/>
  <c r="M430" i="1"/>
  <c r="M429" i="1"/>
  <c r="M428" i="1"/>
  <c r="M427" i="1"/>
  <c r="M424" i="1"/>
  <c r="M423" i="1"/>
  <c r="M421" i="1"/>
  <c r="M416" i="1"/>
  <c r="M411" i="1"/>
  <c r="M4" i="1"/>
  <c r="M6" i="1"/>
  <c r="M8" i="1"/>
  <c r="M17" i="1"/>
  <c r="M19" i="1"/>
  <c r="M20" i="1"/>
  <c r="M22" i="1"/>
  <c r="M23" i="1"/>
  <c r="M26" i="1"/>
  <c r="M27" i="1"/>
  <c r="M28" i="1"/>
  <c r="M34" i="1"/>
  <c r="M42" i="1"/>
  <c r="M44" i="1"/>
  <c r="M46" i="1"/>
  <c r="M48" i="1"/>
  <c r="M52" i="1"/>
  <c r="M54" i="1"/>
  <c r="M61" i="1"/>
  <c r="M63" i="1"/>
  <c r="M65" i="1"/>
  <c r="M66" i="1"/>
  <c r="M67" i="1"/>
  <c r="M68" i="1"/>
  <c r="M69" i="1"/>
  <c r="M71" i="1"/>
  <c r="M74" i="1"/>
  <c r="M75" i="1"/>
  <c r="M78" i="1"/>
  <c r="M81" i="1"/>
  <c r="M82" i="1"/>
  <c r="M92" i="1"/>
  <c r="M97" i="1"/>
  <c r="M102" i="1"/>
  <c r="M103" i="1"/>
  <c r="M106" i="1"/>
  <c r="M109" i="1"/>
  <c r="M110" i="1"/>
  <c r="M111" i="1"/>
  <c r="M113" i="1"/>
  <c r="M114" i="1"/>
  <c r="M115" i="1"/>
  <c r="M117" i="1"/>
  <c r="M119" i="1"/>
  <c r="M126" i="1"/>
  <c r="M129" i="1"/>
  <c r="M131" i="1"/>
  <c r="M139" i="1"/>
  <c r="M1104" i="1"/>
  <c r="M142" i="1"/>
  <c r="M143" i="1"/>
  <c r="M150" i="1"/>
  <c r="M154" i="1"/>
  <c r="M155" i="1"/>
  <c r="M156" i="1"/>
  <c r="M158" i="1"/>
  <c r="M161" i="1"/>
  <c r="M162" i="1"/>
  <c r="M170" i="1"/>
  <c r="M174" i="1"/>
  <c r="M177" i="1"/>
  <c r="M178" i="1"/>
  <c r="M188" i="1"/>
  <c r="M189" i="1"/>
  <c r="M190" i="1"/>
  <c r="M195" i="1"/>
  <c r="M197" i="1"/>
  <c r="M198" i="1"/>
  <c r="M206" i="1"/>
  <c r="M207" i="1"/>
  <c r="M212" i="1"/>
  <c r="M213" i="1"/>
  <c r="M214" i="1"/>
  <c r="M217" i="1"/>
  <c r="M221" i="1"/>
  <c r="M222" i="1"/>
  <c r="M224" i="1"/>
  <c r="M231" i="1"/>
  <c r="M232" i="1"/>
  <c r="M234" i="1"/>
  <c r="M240" i="1"/>
  <c r="M242" i="1"/>
  <c r="M243" i="1"/>
  <c r="M246" i="1"/>
  <c r="M247" i="1"/>
  <c r="M254" i="1"/>
  <c r="M259" i="1"/>
  <c r="M261" i="1"/>
  <c r="M264" i="1"/>
  <c r="M268" i="1"/>
  <c r="M271" i="1"/>
  <c r="M285" i="1"/>
  <c r="M298" i="1"/>
  <c r="M301" i="1"/>
  <c r="M303" i="1"/>
  <c r="M304" i="1"/>
  <c r="M305" i="1"/>
  <c r="M312" i="1"/>
  <c r="M314" i="1"/>
  <c r="M318" i="1"/>
  <c r="M321" i="1"/>
  <c r="M1278" i="1"/>
  <c r="M323" i="1"/>
  <c r="M325" i="1"/>
  <c r="M331" i="1"/>
  <c r="M333" i="1"/>
  <c r="M336" i="1"/>
  <c r="M347" i="1"/>
  <c r="M348" i="1"/>
  <c r="M350" i="1"/>
  <c r="M355" i="1"/>
  <c r="M356" i="1"/>
  <c r="M357" i="1"/>
  <c r="M360" i="1"/>
  <c r="M364" i="1"/>
  <c r="M365" i="1"/>
  <c r="M366" i="1"/>
  <c r="M370" i="1"/>
  <c r="M374" i="1"/>
  <c r="M375" i="1"/>
  <c r="M376" i="1"/>
  <c r="M377" i="1"/>
  <c r="M378" i="1"/>
  <c r="M388" i="1"/>
  <c r="M389" i="1"/>
  <c r="M390" i="1"/>
  <c r="M1350" i="1"/>
  <c r="M393" i="1"/>
  <c r="M394" i="1"/>
  <c r="M400" i="1"/>
  <c r="M401" i="1"/>
  <c r="M1376" i="1"/>
  <c r="M402" i="1"/>
  <c r="M405" i="1"/>
  <c r="M408" i="1"/>
  <c r="Q2" i="1"/>
  <c r="Q3" i="1"/>
  <c r="Q4" i="1"/>
  <c r="Q1383" i="1"/>
  <c r="Q7" i="1"/>
  <c r="Q6" i="1"/>
  <c r="Q9" i="1"/>
  <c r="Q10" i="1"/>
  <c r="Q11" i="1"/>
  <c r="Q12" i="1"/>
  <c r="Q13" i="1"/>
  <c r="Q14" i="1"/>
  <c r="Q15" i="1"/>
  <c r="Q16" i="1"/>
  <c r="Q1382" i="1"/>
  <c r="Q18" i="1"/>
  <c r="Q430" i="1"/>
  <c r="Q1377" i="1"/>
  <c r="Q21" i="1"/>
  <c r="Q8" i="1"/>
  <c r="Q1374" i="1"/>
  <c r="Q24" i="1"/>
  <c r="Q25" i="1"/>
  <c r="Q1361" i="1"/>
  <c r="Q1358" i="1"/>
  <c r="Q1356" i="1"/>
  <c r="Q29" i="1"/>
  <c r="Q30" i="1"/>
  <c r="Q31" i="1"/>
  <c r="Q32" i="1"/>
  <c r="Q33" i="1"/>
  <c r="Q1348" i="1"/>
  <c r="Q35" i="1"/>
  <c r="Q36" i="1"/>
  <c r="Q37" i="1"/>
  <c r="Q38" i="1"/>
  <c r="Q39" i="1"/>
  <c r="Q40" i="1"/>
  <c r="Q41" i="1"/>
  <c r="Q17" i="1"/>
  <c r="Q43" i="1"/>
  <c r="Q1345" i="1"/>
  <c r="Q45" i="1"/>
  <c r="Q1342" i="1"/>
  <c r="Q47" i="1"/>
  <c r="Q1335" i="1"/>
  <c r="Q49" i="1"/>
  <c r="Q50" i="1"/>
  <c r="Q51" i="1"/>
  <c r="Q19" i="1"/>
  <c r="Q53" i="1"/>
  <c r="Q1327" i="1"/>
  <c r="Q55" i="1"/>
  <c r="Q56" i="1"/>
  <c r="Q57" i="1"/>
  <c r="Q58" i="1"/>
  <c r="Q59" i="1"/>
  <c r="Q60" i="1"/>
  <c r="Q20" i="1"/>
  <c r="Q62" i="1"/>
  <c r="Q1318" i="1"/>
  <c r="Q64" i="1"/>
  <c r="Q22" i="1"/>
  <c r="Q23" i="1"/>
  <c r="Q1316" i="1"/>
  <c r="Q26" i="1"/>
  <c r="Q27" i="1"/>
  <c r="Q70" i="1"/>
  <c r="Q1313" i="1"/>
  <c r="Q72" i="1"/>
  <c r="Q73" i="1"/>
  <c r="Q1310" i="1"/>
  <c r="Q1308" i="1"/>
  <c r="Q76" i="1"/>
  <c r="Q77" i="1"/>
  <c r="Q1309" i="1"/>
  <c r="Q79" i="1"/>
  <c r="Q80" i="1"/>
  <c r="Q1306" i="1"/>
  <c r="Q1303" i="1"/>
  <c r="Q83" i="1"/>
  <c r="Q84" i="1"/>
  <c r="Q85" i="1"/>
  <c r="Q86" i="1"/>
  <c r="Q87" i="1"/>
  <c r="Q88" i="1"/>
  <c r="Q89" i="1"/>
  <c r="Q90" i="1"/>
  <c r="Q91" i="1"/>
  <c r="Q1302" i="1"/>
  <c r="Q93" i="1"/>
  <c r="Q94" i="1"/>
  <c r="Q95" i="1"/>
  <c r="Q96" i="1"/>
  <c r="Q28" i="1"/>
  <c r="Q98" i="1"/>
  <c r="Q99" i="1"/>
  <c r="Q100" i="1"/>
  <c r="Q101" i="1"/>
  <c r="Q1298" i="1"/>
  <c r="Q1297" i="1"/>
  <c r="Q104" i="1"/>
  <c r="Q105" i="1"/>
  <c r="Q1296" i="1"/>
  <c r="Q107" i="1"/>
  <c r="Q108" i="1"/>
  <c r="Q1293" i="1"/>
  <c r="Q34" i="1"/>
  <c r="Q1291" i="1"/>
  <c r="Q112" i="1"/>
  <c r="Q1288" i="1"/>
  <c r="Q1287" i="1"/>
  <c r="Q1282" i="1"/>
  <c r="Q116" i="1"/>
  <c r="Q1283" i="1"/>
  <c r="Q118" i="1"/>
  <c r="Q1279" i="1"/>
  <c r="Q120" i="1"/>
  <c r="Q122" i="1"/>
  <c r="Q123" i="1"/>
  <c r="Q124" i="1"/>
  <c r="Q125" i="1"/>
  <c r="Q1269" i="1"/>
  <c r="Q127" i="1"/>
  <c r="Q128" i="1"/>
  <c r="Q1277" i="1"/>
  <c r="Q130" i="1"/>
  <c r="Q1267" i="1"/>
  <c r="Q132" i="1"/>
  <c r="Q134" i="1"/>
  <c r="Q135" i="1"/>
  <c r="Q136" i="1"/>
  <c r="Q137" i="1"/>
  <c r="Q138" i="1"/>
  <c r="Q42" i="1"/>
  <c r="Q140" i="1"/>
  <c r="Q141" i="1"/>
  <c r="Q44" i="1"/>
  <c r="Q1264" i="1"/>
  <c r="Q144" i="1"/>
  <c r="Q145" i="1"/>
  <c r="Q146" i="1"/>
  <c r="Q147" i="1"/>
  <c r="Q148" i="1"/>
  <c r="Q149" i="1"/>
  <c r="Q1258" i="1"/>
  <c r="Q151" i="1"/>
  <c r="Q152" i="1"/>
  <c r="Q153" i="1"/>
  <c r="Q46" i="1"/>
  <c r="Q1250" i="1"/>
  <c r="Q1256" i="1"/>
  <c r="Q157" i="1"/>
  <c r="Q1237" i="1"/>
  <c r="Q159" i="1"/>
  <c r="Q160" i="1"/>
  <c r="Q48" i="1"/>
  <c r="Q52" i="1"/>
  <c r="Q163" i="1"/>
  <c r="Q164" i="1"/>
  <c r="Q165" i="1"/>
  <c r="Q166" i="1"/>
  <c r="Q168" i="1"/>
  <c r="Q169" i="1"/>
  <c r="Q54" i="1"/>
  <c r="Q171" i="1"/>
  <c r="Q172" i="1"/>
  <c r="Q173" i="1"/>
  <c r="Q61" i="1"/>
  <c r="Q175" i="1"/>
  <c r="Q176" i="1"/>
  <c r="Q63" i="1"/>
  <c r="Q65" i="1"/>
  <c r="Q179" i="1"/>
  <c r="Q180" i="1"/>
  <c r="Q181" i="1"/>
  <c r="Q182" i="1"/>
  <c r="Q183" i="1"/>
  <c r="Q184" i="1"/>
  <c r="Q185" i="1"/>
  <c r="Q186" i="1"/>
  <c r="Q187" i="1"/>
  <c r="Q1235" i="1"/>
  <c r="Q66" i="1"/>
  <c r="Q442" i="1"/>
  <c r="Q191" i="1"/>
  <c r="Q192" i="1"/>
  <c r="Q193" i="1"/>
  <c r="Q1234" i="1"/>
  <c r="Q196" i="1"/>
  <c r="Q67" i="1"/>
  <c r="Q449" i="1"/>
  <c r="Q199" i="1"/>
  <c r="Q200" i="1"/>
  <c r="Q201" i="1"/>
  <c r="Q202" i="1"/>
  <c r="Q203" i="1"/>
  <c r="Q204" i="1"/>
  <c r="Q205" i="1"/>
  <c r="Q1227" i="1"/>
  <c r="Q1219" i="1"/>
  <c r="Q208" i="1"/>
  <c r="Q209" i="1"/>
  <c r="Q210" i="1"/>
  <c r="Q211" i="1"/>
  <c r="Q1216" i="1"/>
  <c r="Q68" i="1"/>
  <c r="Q1197" i="1"/>
  <c r="Q215" i="1"/>
  <c r="Q216" i="1"/>
  <c r="Q69" i="1"/>
  <c r="Q218" i="1"/>
  <c r="Q219" i="1"/>
  <c r="Q220" i="1"/>
  <c r="Q1192" i="1"/>
  <c r="Q1191" i="1"/>
  <c r="Q223" i="1"/>
  <c r="Q1188" i="1"/>
  <c r="Q225" i="1"/>
  <c r="Q226" i="1"/>
  <c r="Q227" i="1"/>
  <c r="Q228" i="1"/>
  <c r="Q229" i="1"/>
  <c r="Q230" i="1"/>
  <c r="Q71" i="1"/>
  <c r="Q1187" i="1"/>
  <c r="Q233" i="1"/>
  <c r="Q1186" i="1"/>
  <c r="Q235" i="1"/>
  <c r="Q236" i="1"/>
  <c r="Q237" i="1"/>
  <c r="Q238" i="1"/>
  <c r="Q239" i="1"/>
  <c r="Q1185" i="1"/>
  <c r="Q241" i="1"/>
  <c r="Q1184" i="1"/>
  <c r="Q74" i="1"/>
  <c r="Q244" i="1"/>
  <c r="Q245" i="1"/>
  <c r="Q1181" i="1"/>
  <c r="Q1183" i="1"/>
  <c r="Q248" i="1"/>
  <c r="Q250" i="1"/>
  <c r="Q251" i="1"/>
  <c r="Q252" i="1"/>
  <c r="Q253" i="1"/>
  <c r="Q1180" i="1"/>
  <c r="Q255" i="1"/>
  <c r="Q256" i="1"/>
  <c r="Q257" i="1"/>
  <c r="Q258" i="1"/>
  <c r="Q75" i="1"/>
  <c r="Q260" i="1"/>
  <c r="Q1179" i="1"/>
  <c r="Q262" i="1"/>
  <c r="Q263" i="1"/>
  <c r="Q444" i="1"/>
  <c r="Q265" i="1"/>
  <c r="Q267" i="1"/>
  <c r="Q1178" i="1"/>
  <c r="Q270" i="1"/>
  <c r="Q78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81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82" i="1"/>
  <c r="Q299" i="1"/>
  <c r="Q300" i="1"/>
  <c r="Q1177" i="1"/>
  <c r="Q302" i="1"/>
  <c r="Q92" i="1"/>
  <c r="Q1176" i="1"/>
  <c r="Q1175" i="1"/>
  <c r="Q306" i="1"/>
  <c r="Q307" i="1"/>
  <c r="Q308" i="1"/>
  <c r="Q309" i="1"/>
  <c r="Q310" i="1"/>
  <c r="Q311" i="1"/>
  <c r="Q1174" i="1"/>
  <c r="Q313" i="1"/>
  <c r="Q1169" i="1"/>
  <c r="Q315" i="1"/>
  <c r="Q316" i="1"/>
  <c r="Q317" i="1"/>
  <c r="Q1167" i="1"/>
  <c r="Q319" i="1"/>
  <c r="Q320" i="1"/>
  <c r="Q97" i="1"/>
  <c r="Q322" i="1"/>
  <c r="Q1164" i="1"/>
  <c r="Q324" i="1"/>
  <c r="Q1162" i="1"/>
  <c r="Q326" i="1"/>
  <c r="Q327" i="1"/>
  <c r="Q328" i="1"/>
  <c r="Q330" i="1"/>
  <c r="Q102" i="1"/>
  <c r="Q332" i="1"/>
  <c r="Q1160" i="1"/>
  <c r="Q334" i="1"/>
  <c r="Q335" i="1"/>
  <c r="Q1158" i="1"/>
  <c r="Q338" i="1"/>
  <c r="Q339" i="1"/>
  <c r="Q340" i="1"/>
  <c r="Q341" i="1"/>
  <c r="Q342" i="1"/>
  <c r="Q343" i="1"/>
  <c r="Q344" i="1"/>
  <c r="Q345" i="1"/>
  <c r="Q346" i="1"/>
  <c r="Q1157" i="1"/>
  <c r="Q1154" i="1"/>
  <c r="Q349" i="1"/>
  <c r="Q1148" i="1"/>
  <c r="Q351" i="1"/>
  <c r="Q354" i="1"/>
  <c r="Q1147" i="1"/>
  <c r="Q1146" i="1"/>
  <c r="Q1133" i="1"/>
  <c r="Q358" i="1"/>
  <c r="Q359" i="1"/>
  <c r="Q459" i="1"/>
  <c r="Q361" i="1"/>
  <c r="Q362" i="1"/>
  <c r="Q363" i="1"/>
  <c r="Q1131" i="1"/>
  <c r="Q103" i="1"/>
  <c r="Q106" i="1"/>
  <c r="Q367" i="1"/>
  <c r="Q368" i="1"/>
  <c r="Q369" i="1"/>
  <c r="Q109" i="1"/>
  <c r="Q371" i="1"/>
  <c r="Q372" i="1"/>
  <c r="Q373" i="1"/>
  <c r="Q1128" i="1"/>
  <c r="Q110" i="1"/>
  <c r="Q1127" i="1"/>
  <c r="Q1126" i="1"/>
  <c r="Q1124" i="1"/>
  <c r="Q379" i="1"/>
  <c r="Q380" i="1"/>
  <c r="Q381" i="1"/>
  <c r="Q383" i="1"/>
  <c r="Q384" i="1"/>
  <c r="Q385" i="1"/>
  <c r="Q386" i="1"/>
  <c r="Q387" i="1"/>
  <c r="Q1113" i="1"/>
  <c r="Q1111" i="1"/>
  <c r="Q1110" i="1"/>
  <c r="Q391" i="1"/>
  <c r="Q392" i="1"/>
  <c r="Q1108" i="1"/>
  <c r="Q1105" i="1"/>
  <c r="Q395" i="1"/>
  <c r="Q396" i="1"/>
  <c r="Q397" i="1"/>
  <c r="Q398" i="1"/>
  <c r="Q399" i="1"/>
  <c r="Q1097" i="1"/>
  <c r="Q1095" i="1"/>
  <c r="Q1090" i="1"/>
  <c r="Q403" i="1"/>
  <c r="Q404" i="1"/>
  <c r="Q1086" i="1"/>
  <c r="Q406" i="1"/>
  <c r="Q407" i="1"/>
  <c r="Q111" i="1"/>
  <c r="Q409" i="1"/>
  <c r="Q410" i="1"/>
  <c r="Q113" i="1"/>
  <c r="Q412" i="1"/>
  <c r="Q413" i="1"/>
  <c r="Q414" i="1"/>
  <c r="Q415" i="1"/>
  <c r="Q1083" i="1"/>
  <c r="Q417" i="1"/>
  <c r="Q418" i="1"/>
  <c r="Q419" i="1"/>
  <c r="Q420" i="1"/>
  <c r="Q114" i="1"/>
  <c r="Q422" i="1"/>
  <c r="Q1077" i="1"/>
  <c r="Q1076" i="1"/>
  <c r="Q425" i="1"/>
  <c r="Q426" i="1"/>
  <c r="Q1075" i="1"/>
  <c r="Q1074" i="1"/>
  <c r="Q1071" i="1"/>
  <c r="Q115" i="1"/>
  <c r="Q432" i="1"/>
  <c r="Q433" i="1"/>
  <c r="Q434" i="1"/>
  <c r="Q1070" i="1"/>
  <c r="Q436" i="1"/>
  <c r="Q437" i="1"/>
  <c r="Q438" i="1"/>
  <c r="Q439" i="1"/>
  <c r="Q440" i="1"/>
  <c r="Q1069" i="1"/>
  <c r="Q1066" i="1"/>
  <c r="Q443" i="1"/>
  <c r="Q117" i="1"/>
  <c r="Q445" i="1"/>
  <c r="Q446" i="1"/>
  <c r="Q447" i="1"/>
  <c r="Q448" i="1"/>
  <c r="Q1062" i="1"/>
  <c r="Q119" i="1"/>
  <c r="Q452" i="1"/>
  <c r="Q453" i="1"/>
  <c r="Q454" i="1"/>
  <c r="Q455" i="1"/>
  <c r="Q456" i="1"/>
  <c r="Q1056" i="1"/>
  <c r="Q126" i="1"/>
  <c r="Q1044" i="1"/>
  <c r="Q1047" i="1"/>
  <c r="Q1050" i="1"/>
  <c r="Q462" i="1"/>
  <c r="Q463" i="1"/>
  <c r="Q464" i="1"/>
  <c r="Q1042" i="1"/>
  <c r="Q466" i="1"/>
  <c r="Q467" i="1"/>
  <c r="Q1038" i="1"/>
  <c r="Q469" i="1"/>
  <c r="Q1037" i="1"/>
  <c r="Q471" i="1"/>
  <c r="Q472" i="1"/>
  <c r="Q473" i="1"/>
  <c r="Q474" i="1"/>
  <c r="Q475" i="1"/>
  <c r="Q476" i="1"/>
  <c r="Q477" i="1"/>
  <c r="Q478" i="1"/>
  <c r="Q479" i="1"/>
  <c r="Q481" i="1"/>
  <c r="Q1034" i="1"/>
  <c r="Q483" i="1"/>
  <c r="Q1029" i="1"/>
  <c r="Q1025" i="1"/>
  <c r="Q129" i="1"/>
  <c r="Q488" i="1"/>
  <c r="Q1024" i="1"/>
  <c r="Q490" i="1"/>
  <c r="Q491" i="1"/>
  <c r="Q492" i="1"/>
  <c r="Q493" i="1"/>
  <c r="Q494" i="1"/>
  <c r="Q495" i="1"/>
  <c r="Q496" i="1"/>
  <c r="Q497" i="1"/>
  <c r="Q498" i="1"/>
  <c r="Q499" i="1"/>
  <c r="Q1020" i="1"/>
  <c r="Q131" i="1"/>
  <c r="Q502" i="1"/>
  <c r="Q139" i="1"/>
  <c r="Q1017" i="1"/>
  <c r="Q142" i="1"/>
  <c r="Q506" i="1"/>
  <c r="Q1016" i="1"/>
  <c r="Q508" i="1"/>
  <c r="Q143" i="1"/>
  <c r="Q510" i="1"/>
  <c r="Q511" i="1"/>
  <c r="Q150" i="1"/>
  <c r="Q513" i="1"/>
  <c r="Q1013" i="1"/>
  <c r="Q515" i="1"/>
  <c r="Q1012" i="1"/>
  <c r="Q154" i="1"/>
  <c r="Q1009" i="1"/>
  <c r="Q1008" i="1"/>
  <c r="Q520" i="1"/>
  <c r="Q521" i="1"/>
  <c r="Q522" i="1"/>
  <c r="Q523" i="1"/>
  <c r="Q524" i="1"/>
  <c r="Q1006" i="1"/>
  <c r="Q526" i="1"/>
  <c r="Q527" i="1"/>
  <c r="Q528" i="1"/>
  <c r="Q529" i="1"/>
  <c r="Q530" i="1"/>
  <c r="Q531" i="1"/>
  <c r="Q532" i="1"/>
  <c r="Q533" i="1"/>
  <c r="Q534" i="1"/>
  <c r="Q535" i="1"/>
  <c r="Q983" i="1"/>
  <c r="Q537" i="1"/>
  <c r="Q980" i="1"/>
  <c r="Q539" i="1"/>
  <c r="Q540" i="1"/>
  <c r="Q541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7" i="1"/>
  <c r="Q558" i="1"/>
  <c r="Q155" i="1"/>
  <c r="Q976" i="1"/>
  <c r="Q561" i="1"/>
  <c r="Q156" i="1"/>
  <c r="Q563" i="1"/>
  <c r="Q564" i="1"/>
  <c r="Q565" i="1"/>
  <c r="Q975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158" i="1"/>
  <c r="Q972" i="1"/>
  <c r="Q971" i="1"/>
  <c r="Q587" i="1"/>
  <c r="Q161" i="1"/>
  <c r="Q589" i="1"/>
  <c r="Q591" i="1"/>
  <c r="Q592" i="1"/>
  <c r="Q593" i="1"/>
  <c r="Q594" i="1"/>
  <c r="Q595" i="1"/>
  <c r="Q596" i="1"/>
  <c r="Q162" i="1"/>
  <c r="Q170" i="1"/>
  <c r="Q599" i="1"/>
  <c r="Q600" i="1"/>
  <c r="Q601" i="1"/>
  <c r="Q969" i="1"/>
  <c r="Q174" i="1"/>
  <c r="Q604" i="1"/>
  <c r="Q605" i="1"/>
  <c r="Q606" i="1"/>
  <c r="Q968" i="1"/>
  <c r="Q608" i="1"/>
  <c r="Q609" i="1"/>
  <c r="Q610" i="1"/>
  <c r="Q967" i="1"/>
  <c r="Q965" i="1"/>
  <c r="Q964" i="1"/>
  <c r="Q615" i="1"/>
  <c r="Q616" i="1"/>
  <c r="Q617" i="1"/>
  <c r="Q959" i="1"/>
  <c r="Q955" i="1"/>
  <c r="Q411" i="1"/>
  <c r="Q621" i="1"/>
  <c r="Q177" i="1"/>
  <c r="Q623" i="1"/>
  <c r="Q624" i="1"/>
  <c r="Q948" i="1"/>
  <c r="Q951" i="1"/>
  <c r="Q627" i="1"/>
  <c r="Q628" i="1"/>
  <c r="Q629" i="1"/>
  <c r="Q630" i="1"/>
  <c r="Q946" i="1"/>
  <c r="Q632" i="1"/>
  <c r="Q178" i="1"/>
  <c r="Q944" i="1"/>
  <c r="Q636" i="1"/>
  <c r="Q942" i="1"/>
  <c r="Q18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941" i="1"/>
  <c r="Q655" i="1"/>
  <c r="Q939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938" i="1"/>
  <c r="Q672" i="1"/>
  <c r="Q673" i="1"/>
  <c r="Q189" i="1"/>
  <c r="Q930" i="1"/>
  <c r="Q190" i="1"/>
  <c r="Q677" i="1"/>
  <c r="Q195" i="1"/>
  <c r="Q679" i="1"/>
  <c r="Q929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927" i="1"/>
  <c r="Q697" i="1"/>
  <c r="Q698" i="1"/>
  <c r="Q926" i="1"/>
  <c r="Q700" i="1"/>
  <c r="Q701" i="1"/>
  <c r="Q702" i="1"/>
  <c r="Q703" i="1"/>
  <c r="Q704" i="1"/>
  <c r="Q706" i="1"/>
  <c r="Q707" i="1"/>
  <c r="Q708" i="1"/>
  <c r="Q709" i="1"/>
  <c r="Q710" i="1"/>
  <c r="Q711" i="1"/>
  <c r="Q924" i="1"/>
  <c r="Q197" i="1"/>
  <c r="Q198" i="1"/>
  <c r="Q909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907" i="1"/>
  <c r="Q729" i="1"/>
  <c r="Q730" i="1"/>
  <c r="Q731" i="1"/>
  <c r="Q732" i="1"/>
  <c r="Q733" i="1"/>
  <c r="Q734" i="1"/>
  <c r="Q735" i="1"/>
  <c r="Q736" i="1"/>
  <c r="Q906" i="1"/>
  <c r="Q901" i="1"/>
  <c r="Q739" i="1"/>
  <c r="Q740" i="1"/>
  <c r="Q741" i="1"/>
  <c r="Q742" i="1"/>
  <c r="Q743" i="1"/>
  <c r="Q900" i="1"/>
  <c r="Q745" i="1"/>
  <c r="Q893" i="1"/>
  <c r="Q747" i="1"/>
  <c r="Q206" i="1"/>
  <c r="Q749" i="1"/>
  <c r="Q750" i="1"/>
  <c r="Q751" i="1"/>
  <c r="Q207" i="1"/>
  <c r="Q892" i="1"/>
  <c r="Q754" i="1"/>
  <c r="Q755" i="1"/>
  <c r="Q756" i="1"/>
  <c r="Q757" i="1"/>
  <c r="Q758" i="1"/>
  <c r="Q212" i="1"/>
  <c r="Q890" i="1"/>
  <c r="Q761" i="1"/>
  <c r="Q886" i="1"/>
  <c r="Q763" i="1"/>
  <c r="Q764" i="1"/>
  <c r="Q885" i="1"/>
  <c r="Q766" i="1"/>
  <c r="Q883" i="1"/>
  <c r="Q768" i="1"/>
  <c r="Q769" i="1"/>
  <c r="Q770" i="1"/>
  <c r="Q771" i="1"/>
  <c r="Q772" i="1"/>
  <c r="Q213" i="1"/>
  <c r="Q774" i="1"/>
  <c r="Q775" i="1"/>
  <c r="Q776" i="1"/>
  <c r="Q777" i="1"/>
  <c r="Q778" i="1"/>
  <c r="Q779" i="1"/>
  <c r="Q780" i="1"/>
  <c r="Q781" i="1"/>
  <c r="Q783" i="1"/>
  <c r="Q882" i="1"/>
  <c r="Q880" i="1"/>
  <c r="Q878" i="1"/>
  <c r="Q787" i="1"/>
  <c r="Q788" i="1"/>
  <c r="Q789" i="1"/>
  <c r="Q790" i="1"/>
  <c r="Q874" i="1"/>
  <c r="Q792" i="1"/>
  <c r="Q873" i="1"/>
  <c r="Q794" i="1"/>
  <c r="Q795" i="1"/>
  <c r="Q872" i="1"/>
  <c r="Q797" i="1"/>
  <c r="Q798" i="1"/>
  <c r="Q799" i="1"/>
  <c r="Q863" i="1"/>
  <c r="Q214" i="1"/>
  <c r="Q803" i="1"/>
  <c r="Q804" i="1"/>
  <c r="Q805" i="1"/>
  <c r="Q806" i="1"/>
  <c r="Q217" i="1"/>
  <c r="Q808" i="1"/>
  <c r="Q809" i="1"/>
  <c r="Q441" i="1"/>
  <c r="Q811" i="1"/>
  <c r="Q812" i="1"/>
  <c r="Q813" i="1"/>
  <c r="Q814" i="1"/>
  <c r="Q862" i="1"/>
  <c r="Q861" i="1"/>
  <c r="Q817" i="1"/>
  <c r="Q818" i="1"/>
  <c r="Q819" i="1"/>
  <c r="Q221" i="1"/>
  <c r="Q821" i="1"/>
  <c r="Q822" i="1"/>
  <c r="Q823" i="1"/>
  <c r="Q824" i="1"/>
  <c r="Q825" i="1"/>
  <c r="Q858" i="1"/>
  <c r="Q857" i="1"/>
  <c r="Q828" i="1"/>
  <c r="Q829" i="1"/>
  <c r="Q424" i="1"/>
  <c r="Q831" i="1"/>
  <c r="Q856" i="1"/>
  <c r="Q855" i="1"/>
  <c r="Q834" i="1"/>
  <c r="Q835" i="1"/>
  <c r="Q222" i="1"/>
  <c r="Q837" i="1"/>
  <c r="Q854" i="1"/>
  <c r="Q839" i="1"/>
  <c r="Q840" i="1"/>
  <c r="Q841" i="1"/>
  <c r="Q842" i="1"/>
  <c r="Q843" i="1"/>
  <c r="Q844" i="1"/>
  <c r="Q851" i="1"/>
  <c r="Q846" i="1"/>
  <c r="Q847" i="1"/>
  <c r="Q848" i="1"/>
  <c r="Q850" i="1"/>
  <c r="Q845" i="1"/>
  <c r="Q852" i="1"/>
  <c r="Q853" i="1"/>
  <c r="Q838" i="1"/>
  <c r="Q836" i="1"/>
  <c r="Q416" i="1"/>
  <c r="Q833" i="1"/>
  <c r="Q832" i="1"/>
  <c r="Q859" i="1"/>
  <c r="Q860" i="1"/>
  <c r="Q830" i="1"/>
  <c r="Q224" i="1"/>
  <c r="Q827" i="1"/>
  <c r="Q864" i="1"/>
  <c r="Q865" i="1"/>
  <c r="Q866" i="1"/>
  <c r="Q867" i="1"/>
  <c r="Q868" i="1"/>
  <c r="Q869" i="1"/>
  <c r="Q870" i="1"/>
  <c r="Q871" i="1"/>
  <c r="Q826" i="1"/>
  <c r="Q458" i="1"/>
  <c r="Q820" i="1"/>
  <c r="Q875" i="1"/>
  <c r="Q876" i="1"/>
  <c r="Q877" i="1"/>
  <c r="Q816" i="1"/>
  <c r="Q879" i="1"/>
  <c r="Q231" i="1"/>
  <c r="Q881" i="1"/>
  <c r="Q815" i="1"/>
  <c r="Q810" i="1"/>
  <c r="Q884" i="1"/>
  <c r="Q807" i="1"/>
  <c r="Q802" i="1"/>
  <c r="Q887" i="1"/>
  <c r="Q888" i="1"/>
  <c r="Q889" i="1"/>
  <c r="Q232" i="1"/>
  <c r="Q891" i="1"/>
  <c r="Q234" i="1"/>
  <c r="Q800" i="1"/>
  <c r="Q894" i="1"/>
  <c r="Q895" i="1"/>
  <c r="Q896" i="1"/>
  <c r="Q897" i="1"/>
  <c r="Q898" i="1"/>
  <c r="Q899" i="1"/>
  <c r="Q240" i="1"/>
  <c r="Q796" i="1"/>
  <c r="Q902" i="1"/>
  <c r="Q903" i="1"/>
  <c r="Q904" i="1"/>
  <c r="Q905" i="1"/>
  <c r="Q793" i="1"/>
  <c r="Q791" i="1"/>
  <c r="Q908" i="1"/>
  <c r="Q242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243" i="1"/>
  <c r="Q925" i="1"/>
  <c r="Q246" i="1"/>
  <c r="Q786" i="1"/>
  <c r="Q928" i="1"/>
  <c r="Q784" i="1"/>
  <c r="Q785" i="1"/>
  <c r="Q931" i="1"/>
  <c r="Q932" i="1"/>
  <c r="Q933" i="1"/>
  <c r="Q934" i="1"/>
  <c r="Q935" i="1"/>
  <c r="Q936" i="1"/>
  <c r="Q937" i="1"/>
  <c r="Q247" i="1"/>
  <c r="Q773" i="1"/>
  <c r="Q940" i="1"/>
  <c r="Q767" i="1"/>
  <c r="Q254" i="1"/>
  <c r="Q943" i="1"/>
  <c r="Q765" i="1"/>
  <c r="Q945" i="1"/>
  <c r="Q762" i="1"/>
  <c r="Q947" i="1"/>
  <c r="Q760" i="1"/>
  <c r="Q949" i="1"/>
  <c r="Q950" i="1"/>
  <c r="Q759" i="1"/>
  <c r="Q952" i="1"/>
  <c r="Q953" i="1"/>
  <c r="Q954" i="1"/>
  <c r="Q259" i="1"/>
  <c r="Q957" i="1"/>
  <c r="Q958" i="1"/>
  <c r="Q753" i="1"/>
  <c r="Q960" i="1"/>
  <c r="Q961" i="1"/>
  <c r="Q962" i="1"/>
  <c r="Q963" i="1"/>
  <c r="Q261" i="1"/>
  <c r="Q264" i="1"/>
  <c r="Q966" i="1"/>
  <c r="Q752" i="1"/>
  <c r="Q748" i="1"/>
  <c r="Q746" i="1"/>
  <c r="Q970" i="1"/>
  <c r="Q268" i="1"/>
  <c r="Q744" i="1"/>
  <c r="Q973" i="1"/>
  <c r="Q974" i="1"/>
  <c r="Q738" i="1"/>
  <c r="Q271" i="1"/>
  <c r="Q977" i="1"/>
  <c r="Q978" i="1"/>
  <c r="Q979" i="1"/>
  <c r="Q737" i="1"/>
  <c r="Q981" i="1"/>
  <c r="Q982" i="1"/>
  <c r="Q285" i="1"/>
  <c r="Q984" i="1"/>
  <c r="Q985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728" i="1"/>
  <c r="Q1007" i="1"/>
  <c r="Q715" i="1"/>
  <c r="Q714" i="1"/>
  <c r="Q1010" i="1"/>
  <c r="Q1011" i="1"/>
  <c r="Q298" i="1"/>
  <c r="Q713" i="1"/>
  <c r="Q1014" i="1"/>
  <c r="Q1015" i="1"/>
  <c r="Q712" i="1"/>
  <c r="Q699" i="1"/>
  <c r="Q1018" i="1"/>
  <c r="Q1019" i="1"/>
  <c r="Q301" i="1"/>
  <c r="Q1021" i="1"/>
  <c r="Q1022" i="1"/>
  <c r="Q1023" i="1"/>
  <c r="Q303" i="1"/>
  <c r="Q696" i="1"/>
  <c r="Q1026" i="1"/>
  <c r="Q1027" i="1"/>
  <c r="Q1028" i="1"/>
  <c r="Q304" i="1"/>
  <c r="Q1030" i="1"/>
  <c r="Q1031" i="1"/>
  <c r="Q1032" i="1"/>
  <c r="Q1033" i="1"/>
  <c r="Q305" i="1"/>
  <c r="Q1035" i="1"/>
  <c r="Q1036" i="1"/>
  <c r="Q680" i="1"/>
  <c r="Q678" i="1"/>
  <c r="Q1039" i="1"/>
  <c r="Q1040" i="1"/>
  <c r="Q1041" i="1"/>
  <c r="Q676" i="1"/>
  <c r="Q1043" i="1"/>
  <c r="Q675" i="1"/>
  <c r="Q1045" i="1"/>
  <c r="Q1046" i="1"/>
  <c r="Q674" i="1"/>
  <c r="Q1048" i="1"/>
  <c r="Q1049" i="1"/>
  <c r="Q429" i="1"/>
  <c r="Q1051" i="1"/>
  <c r="Q1052" i="1"/>
  <c r="Q1053" i="1"/>
  <c r="Q1054" i="1"/>
  <c r="Q1055" i="1"/>
  <c r="Q671" i="1"/>
  <c r="Q1057" i="1"/>
  <c r="Q1058" i="1"/>
  <c r="Q1059" i="1"/>
  <c r="Q1060" i="1"/>
  <c r="Q1061" i="1"/>
  <c r="Q656" i="1"/>
  <c r="Q1063" i="1"/>
  <c r="Q1064" i="1"/>
  <c r="Q1065" i="1"/>
  <c r="Q638" i="1"/>
  <c r="Q1067" i="1"/>
  <c r="Q1068" i="1"/>
  <c r="Q653" i="1"/>
  <c r="Q312" i="1"/>
  <c r="Q314" i="1"/>
  <c r="Q1072" i="1"/>
  <c r="Q1073" i="1"/>
  <c r="Q318" i="1"/>
  <c r="Q637" i="1"/>
  <c r="Q634" i="1"/>
  <c r="Q633" i="1"/>
  <c r="Q1078" i="1"/>
  <c r="Q1079" i="1"/>
  <c r="Q1080" i="1"/>
  <c r="Q1081" i="1"/>
  <c r="Q1082" i="1"/>
  <c r="Q631" i="1"/>
  <c r="Q1084" i="1"/>
  <c r="Q1085" i="1"/>
  <c r="Q321" i="1"/>
  <c r="Q1087" i="1"/>
  <c r="Q1088" i="1"/>
  <c r="Q1089" i="1"/>
  <c r="Q323" i="1"/>
  <c r="Q1091" i="1"/>
  <c r="Q1092" i="1"/>
  <c r="Q1093" i="1"/>
  <c r="Q1094" i="1"/>
  <c r="Q626" i="1"/>
  <c r="Q1096" i="1"/>
  <c r="Q423" i="1"/>
  <c r="Q1098" i="1"/>
  <c r="Q1099" i="1"/>
  <c r="Q1100" i="1"/>
  <c r="Q1101" i="1"/>
  <c r="Q1102" i="1"/>
  <c r="Q1103" i="1"/>
  <c r="Q625" i="1"/>
  <c r="Q1106" i="1"/>
  <c r="Q1107" i="1"/>
  <c r="Q325" i="1"/>
  <c r="Q1109" i="1"/>
  <c r="Q622" i="1"/>
  <c r="Q620" i="1"/>
  <c r="Q1112" i="1"/>
  <c r="Q619" i="1"/>
  <c r="Q1114" i="1"/>
  <c r="Q1115" i="1"/>
  <c r="Q1116" i="1"/>
  <c r="Q1117" i="1"/>
  <c r="Q1118" i="1"/>
  <c r="Q1119" i="1"/>
  <c r="Q1120" i="1"/>
  <c r="Q1121" i="1"/>
  <c r="Q1122" i="1"/>
  <c r="Q1123" i="1"/>
  <c r="Q618" i="1"/>
  <c r="Q1125" i="1"/>
  <c r="Q331" i="1"/>
  <c r="Q613" i="1"/>
  <c r="Q612" i="1"/>
  <c r="Q1129" i="1"/>
  <c r="Q1130" i="1"/>
  <c r="Q333" i="1"/>
  <c r="Q1132" i="1"/>
  <c r="Q611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336" i="1"/>
  <c r="Q607" i="1"/>
  <c r="Q427" i="1"/>
  <c r="Q1149" i="1"/>
  <c r="Q1150" i="1"/>
  <c r="Q1151" i="1"/>
  <c r="Q1152" i="1"/>
  <c r="Q1153" i="1"/>
  <c r="Q347" i="1"/>
  <c r="Q1155" i="1"/>
  <c r="Q1156" i="1"/>
  <c r="Q603" i="1"/>
  <c r="Q602" i="1"/>
  <c r="Q1159" i="1"/>
  <c r="Q348" i="1"/>
  <c r="Q1161" i="1"/>
  <c r="Q598" i="1"/>
  <c r="Q1163" i="1"/>
  <c r="Q597" i="1"/>
  <c r="Q1165" i="1"/>
  <c r="Q1166" i="1"/>
  <c r="Q350" i="1"/>
  <c r="Q1168" i="1"/>
  <c r="Q588" i="1"/>
  <c r="Q1170" i="1"/>
  <c r="Q1171" i="1"/>
  <c r="Q1172" i="1"/>
  <c r="Q1173" i="1"/>
  <c r="Q355" i="1"/>
  <c r="Q586" i="1"/>
  <c r="Q585" i="1"/>
  <c r="Q584" i="1"/>
  <c r="Q356" i="1"/>
  <c r="Q428" i="1"/>
  <c r="Q566" i="1"/>
  <c r="Q562" i="1"/>
  <c r="Q1182" i="1"/>
  <c r="Q560" i="1"/>
  <c r="Q357" i="1"/>
  <c r="Q360" i="1"/>
  <c r="Q364" i="1"/>
  <c r="Q559" i="1"/>
  <c r="Q538" i="1"/>
  <c r="Q1189" i="1"/>
  <c r="Q1190" i="1"/>
  <c r="Q365" i="1"/>
  <c r="Q435" i="1"/>
  <c r="Q1193" i="1"/>
  <c r="Q1194" i="1"/>
  <c r="Q1195" i="1"/>
  <c r="Q1196" i="1"/>
  <c r="Q536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366" i="1"/>
  <c r="Q1217" i="1"/>
  <c r="Q1218" i="1"/>
  <c r="Q525" i="1"/>
  <c r="Q1220" i="1"/>
  <c r="Q1221" i="1"/>
  <c r="Q1222" i="1"/>
  <c r="Q1223" i="1"/>
  <c r="Q1224" i="1"/>
  <c r="Q1225" i="1"/>
  <c r="Q1226" i="1"/>
  <c r="Q370" i="1"/>
  <c r="Q1228" i="1"/>
  <c r="Q1229" i="1"/>
  <c r="Q1230" i="1"/>
  <c r="Q1231" i="1"/>
  <c r="Q1232" i="1"/>
  <c r="Q1233" i="1"/>
  <c r="Q374" i="1"/>
  <c r="Q519" i="1"/>
  <c r="Q1236" i="1"/>
  <c r="Q518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375" i="1"/>
  <c r="Q1251" i="1"/>
  <c r="Q1252" i="1"/>
  <c r="Q1253" i="1"/>
  <c r="Q1254" i="1"/>
  <c r="Q1255" i="1"/>
  <c r="Q457" i="1"/>
  <c r="Q1257" i="1"/>
  <c r="Q376" i="1"/>
  <c r="Q1259" i="1"/>
  <c r="Q1260" i="1"/>
  <c r="Q1261" i="1"/>
  <c r="Q1262" i="1"/>
  <c r="Q1263" i="1"/>
  <c r="Q517" i="1"/>
  <c r="Q1265" i="1"/>
  <c r="Q516" i="1"/>
  <c r="Q1268" i="1"/>
  <c r="Q512" i="1"/>
  <c r="Q1271" i="1"/>
  <c r="Q1272" i="1"/>
  <c r="Q1273" i="1"/>
  <c r="Q1274" i="1"/>
  <c r="Q1275" i="1"/>
  <c r="Q1276" i="1"/>
  <c r="Q377" i="1"/>
  <c r="Q378" i="1"/>
  <c r="Q1280" i="1"/>
  <c r="Q1281" i="1"/>
  <c r="Q388" i="1"/>
  <c r="Q514" i="1"/>
  <c r="Q1284" i="1"/>
  <c r="Q1285" i="1"/>
  <c r="Q1286" i="1"/>
  <c r="Q389" i="1"/>
  <c r="Q450" i="1"/>
  <c r="Q1289" i="1"/>
  <c r="Q1290" i="1"/>
  <c r="Q509" i="1"/>
  <c r="Q1292" i="1"/>
  <c r="Q390" i="1"/>
  <c r="Q1294" i="1"/>
  <c r="Q1295" i="1"/>
  <c r="Q393" i="1"/>
  <c r="Q507" i="1"/>
  <c r="Q394" i="1"/>
  <c r="Q1299" i="1"/>
  <c r="Q1300" i="1"/>
  <c r="Q1301" i="1"/>
  <c r="Q505" i="1"/>
  <c r="Q504" i="1"/>
  <c r="Q1304" i="1"/>
  <c r="Q1305" i="1"/>
  <c r="Q503" i="1"/>
  <c r="Q1307" i="1"/>
  <c r="Q501" i="1"/>
  <c r="Q500" i="1"/>
  <c r="Q489" i="1"/>
  <c r="Q1311" i="1"/>
  <c r="Q1312" i="1"/>
  <c r="Q487" i="1"/>
  <c r="Q1314" i="1"/>
  <c r="Q1315" i="1"/>
  <c r="Q486" i="1"/>
  <c r="Q1317" i="1"/>
  <c r="Q485" i="1"/>
  <c r="Q1319" i="1"/>
  <c r="Q1320" i="1"/>
  <c r="Q1321" i="1"/>
  <c r="Q1322" i="1"/>
  <c r="Q1323" i="1"/>
  <c r="Q1324" i="1"/>
  <c r="Q1325" i="1"/>
  <c r="Q1326" i="1"/>
  <c r="Q421" i="1"/>
  <c r="Q1328" i="1"/>
  <c r="Q1329" i="1"/>
  <c r="Q1330" i="1"/>
  <c r="Q1331" i="1"/>
  <c r="Q1332" i="1"/>
  <c r="Q1333" i="1"/>
  <c r="Q1334" i="1"/>
  <c r="Q482" i="1"/>
  <c r="Q1336" i="1"/>
  <c r="Q1337" i="1"/>
  <c r="Q1338" i="1"/>
  <c r="Q1339" i="1"/>
  <c r="Q1340" i="1"/>
  <c r="Q1341" i="1"/>
  <c r="Q470" i="1"/>
  <c r="Q1343" i="1"/>
  <c r="Q1344" i="1"/>
  <c r="Q468" i="1"/>
  <c r="Q1346" i="1"/>
  <c r="Q1347" i="1"/>
  <c r="Q400" i="1"/>
  <c r="Q1349" i="1"/>
  <c r="Q1351" i="1"/>
  <c r="Q1352" i="1"/>
  <c r="Q1353" i="1"/>
  <c r="Q1354" i="1"/>
  <c r="Q1355" i="1"/>
  <c r="Q401" i="1"/>
  <c r="Q1357" i="1"/>
  <c r="Q402" i="1"/>
  <c r="Q1359" i="1"/>
  <c r="Q1360" i="1"/>
  <c r="Q405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465" i="1"/>
  <c r="Q1375" i="1"/>
  <c r="Q408" i="1"/>
  <c r="Q1378" i="1"/>
  <c r="Q1379" i="1"/>
  <c r="Q1380" i="1"/>
  <c r="Q1381" i="1"/>
  <c r="Q461" i="1"/>
  <c r="Q460" i="1"/>
  <c r="Q1384" i="1"/>
</calcChain>
</file>

<file path=xl/sharedStrings.xml><?xml version="1.0" encoding="utf-8"?>
<sst xmlns="http://schemas.openxmlformats.org/spreadsheetml/2006/main" count="6461" uniqueCount="2789">
  <si>
    <t>PWSID</t>
  </si>
  <si>
    <t>Supply Name</t>
  </si>
  <si>
    <t>Population Served (2025)</t>
  </si>
  <si>
    <t>2021</t>
  </si>
  <si>
    <t>2022</t>
  </si>
  <si>
    <t>2023</t>
  </si>
  <si>
    <t>2024</t>
  </si>
  <si>
    <t>Grand Total of Lead Service Lines Replaced</t>
  </si>
  <si>
    <t>Lead in CDSMI</t>
  </si>
  <si>
    <t>GPCL in CDSMI</t>
  </si>
  <si>
    <t>Unknown in CDSMI</t>
  </si>
  <si>
    <t>Total to be identified or replaced</t>
  </si>
  <si>
    <t>% Replaced to Date</t>
  </si>
  <si>
    <t>Most Recent Lead Action Level Exceedance</t>
  </si>
  <si>
    <t>MI0001740</t>
  </si>
  <si>
    <t>DEARBORN HEIGHTS</t>
  </si>
  <si>
    <t>Not Received</t>
  </si>
  <si>
    <t>MI0000011</t>
  </si>
  <si>
    <t>ACME TOWNSHIP - HOPE VILLAGE</t>
  </si>
  <si>
    <t>MI0000465</t>
  </si>
  <si>
    <t>BAY AREA WATER SYSTEM</t>
  </si>
  <si>
    <t>MI0000012</t>
  </si>
  <si>
    <t>ADA TOWNSHIP</t>
  </si>
  <si>
    <t>MI0003200</t>
  </si>
  <si>
    <t>HOLLY, VILLAGE OF</t>
  </si>
  <si>
    <t>MI0000020</t>
  </si>
  <si>
    <t>ADAMS TOWNSHIP</t>
  </si>
  <si>
    <t>MI0001995</t>
  </si>
  <si>
    <t>EAST LANSING MERIDIAN WATER AUTHORITY</t>
  </si>
  <si>
    <t>MI0000030</t>
  </si>
  <si>
    <t>ADDISON</t>
  </si>
  <si>
    <t>MI0000580</t>
  </si>
  <si>
    <t>BELLEVILLE</t>
  </si>
  <si>
    <t>MI0000040</t>
  </si>
  <si>
    <t>ADRIAN</t>
  </si>
  <si>
    <t>MI0002836</t>
  </si>
  <si>
    <t>GRATIOT AREA WATER AUTHORITY</t>
  </si>
  <si>
    <t>MI0001352</t>
  </si>
  <si>
    <t>ADVENTURE ACRES</t>
  </si>
  <si>
    <t>MI0003747</t>
  </si>
  <si>
    <t>LAKETOWN TOWNSHIP</t>
  </si>
  <si>
    <t>MI0000050</t>
  </si>
  <si>
    <t>AHMEEK</t>
  </si>
  <si>
    <t>MI0003220</t>
  </si>
  <si>
    <t>HOMER</t>
  </si>
  <si>
    <t>MI0000070</t>
  </si>
  <si>
    <t>AKRON</t>
  </si>
  <si>
    <t>MI0005050</t>
  </si>
  <si>
    <t>OTISVILLE, VILLAGE OF</t>
  </si>
  <si>
    <t>MI0000072</t>
  </si>
  <si>
    <t>AKRON TOWNSHIP</t>
  </si>
  <si>
    <t>MI0003317</t>
  </si>
  <si>
    <t>HURON REGIONAL WATER AUTHORITY</t>
  </si>
  <si>
    <t>MI0000082</t>
  </si>
  <si>
    <t>ALABASTER TOWNSHIP</t>
  </si>
  <si>
    <t>MI0003319</t>
  </si>
  <si>
    <t>HURON SHORE REGIONAL UTILITY AUTHORITY</t>
  </si>
  <si>
    <t>MI0060085</t>
  </si>
  <si>
    <t>ALAMO COVE NURSING HOME</t>
  </si>
  <si>
    <t>MI0002292</t>
  </si>
  <si>
    <t>EASTERN MICHIGAN NAZARENE DISTRICT CENTE</t>
  </si>
  <si>
    <t>MI0040458</t>
  </si>
  <si>
    <t>ALAN'S PARK - DURAND</t>
  </si>
  <si>
    <t>MI0003563</t>
  </si>
  <si>
    <t>KAREGNONDI WATER AUTHORITY</t>
  </si>
  <si>
    <t>MI0040319</t>
  </si>
  <si>
    <t>ALAN'S PARK - FOWLERVILLE</t>
  </si>
  <si>
    <t>MI0040370</t>
  </si>
  <si>
    <t>HESS LAKE RV AND MOBILE HOME PARK</t>
  </si>
  <si>
    <t>MI0040129</t>
  </si>
  <si>
    <t>ALANSON ESTATES MOBILE HOME PARK</t>
  </si>
  <si>
    <t>MI0004653</t>
  </si>
  <si>
    <t>NEGAUNEE/ISHPEMING WATER AUTHORITY</t>
  </si>
  <si>
    <t>MI0000088</t>
  </si>
  <si>
    <t>ALBEE TOWNSHIP</t>
  </si>
  <si>
    <t>MI0062955</t>
  </si>
  <si>
    <t>MAJESTIC CARE OF FLUSHING</t>
  </si>
  <si>
    <t>MI0000100</t>
  </si>
  <si>
    <t>ALBION</t>
  </si>
  <si>
    <t>MI0004847</t>
  </si>
  <si>
    <t>NORTHWEST OTTAWA CO WATER SYST</t>
  </si>
  <si>
    <t>MI0040259</t>
  </si>
  <si>
    <t>ALGOMA ESTATES</t>
  </si>
  <si>
    <t>MI0040240</t>
  </si>
  <si>
    <t>MY PLACE AT PLEASANT LAKE</t>
  </si>
  <si>
    <t>MI0000110</t>
  </si>
  <si>
    <t>ALGONAC, CITY OF</t>
  </si>
  <si>
    <t>MI0005880</t>
  </si>
  <si>
    <t>SAGINAW-MIDLAND WATER SUPPLY</t>
  </si>
  <si>
    <t>MI0000120</t>
  </si>
  <si>
    <t>ALLEGAN</t>
  </si>
  <si>
    <t>MI0040162</t>
  </si>
  <si>
    <t>WESTHAVEN MOBILE HOME PARK, LLC</t>
  </si>
  <si>
    <t>MI0000125</t>
  </si>
  <si>
    <t>ALLEGAN COUNTY SERVICES CENTER</t>
  </si>
  <si>
    <t>MI0006150</t>
  </si>
  <si>
    <t>SOUTHEASTERN OAKLAND CO W AUTH</t>
  </si>
  <si>
    <t>MI0040002</t>
  </si>
  <si>
    <t>ALLEGAN MOBILE ESTATES</t>
  </si>
  <si>
    <t>MI0005039</t>
  </si>
  <si>
    <t>ORCHARD PLACE MANOR APARTMENTS</t>
  </si>
  <si>
    <t>MI0000130</t>
  </si>
  <si>
    <t>ALLEN PARK</t>
  </si>
  <si>
    <t>MI0040027</t>
  </si>
  <si>
    <t>SWAN LAKE MOBILE ESTATES</t>
  </si>
  <si>
    <t>MI0000127</t>
  </si>
  <si>
    <t>ALLENDALE TOWNSHIP</t>
  </si>
  <si>
    <t>MI0040154</t>
  </si>
  <si>
    <t>NORTH DORT MANOR LTD</t>
  </si>
  <si>
    <t>MI0000140</t>
  </si>
  <si>
    <t>ALMA, CITY OF</t>
  </si>
  <si>
    <t>MI0001800</t>
  </si>
  <si>
    <t>DETROIT CITY OF</t>
  </si>
  <si>
    <t>MI0000150</t>
  </si>
  <si>
    <t>ALMONT, VILLAGE OF</t>
  </si>
  <si>
    <t>MI0040091</t>
  </si>
  <si>
    <t>MY PLACE AT TWIN VALLEY</t>
  </si>
  <si>
    <t>MI0000160</t>
  </si>
  <si>
    <t>ALPENA, CITY OF</t>
  </si>
  <si>
    <t>MI0003930</t>
  </si>
  <si>
    <t>LIVONIA</t>
  </si>
  <si>
    <t>MI0000180</t>
  </si>
  <si>
    <t>ALPHA</t>
  </si>
  <si>
    <t>MI0040200</t>
  </si>
  <si>
    <t>MASON MOBILE, LLC</t>
  </si>
  <si>
    <t>MI0040681</t>
  </si>
  <si>
    <t>ALTO MEADOWS</t>
  </si>
  <si>
    <t>MI0002790</t>
  </si>
  <si>
    <t>GRAND RAPIDS</t>
  </si>
  <si>
    <t>MI0040023</t>
  </si>
  <si>
    <t>AMBER ESTATES MOBILE HOME PARK</t>
  </si>
  <si>
    <t>MI0005136</t>
  </si>
  <si>
    <t>OXFORD VILLAGE CONDOMINIUMS</t>
  </si>
  <si>
    <t>MI0000215</t>
  </si>
  <si>
    <t>ANDELINA FARMS</t>
  </si>
  <si>
    <t>MI0006900</t>
  </si>
  <si>
    <t>WARREN, CITY OF</t>
  </si>
  <si>
    <t>MI0040246</t>
  </si>
  <si>
    <t>ANDREWS ESTATES</t>
  </si>
  <si>
    <t>MI0040140</t>
  </si>
  <si>
    <t>MY PLACE AT HERITAGE ESTATES</t>
  </si>
  <si>
    <t>MI0000210</t>
  </si>
  <si>
    <t>ANDREWS UNIVERSITY</t>
  </si>
  <si>
    <t>MI0007040</t>
  </si>
  <si>
    <t>WESTLAND</t>
  </si>
  <si>
    <t>MI0000220</t>
  </si>
  <si>
    <t>ANN ARBOR</t>
  </si>
  <si>
    <t>MI0040226</t>
  </si>
  <si>
    <t>MICHIGAN AVENUE ESTATES</t>
  </si>
  <si>
    <t>MI0000221</t>
  </si>
  <si>
    <t>ANN ARBOR TOWNSHIP</t>
  </si>
  <si>
    <t>MI0003470</t>
  </si>
  <si>
    <t>JACKSON</t>
  </si>
  <si>
    <t>MI0040355</t>
  </si>
  <si>
    <t>APPLE CARR VILLAGE</t>
  </si>
  <si>
    <t>MI0002943</t>
  </si>
  <si>
    <t>HALE HOMESTEAD APARTMENTS</t>
  </si>
  <si>
    <t>MI0040664</t>
  </si>
  <si>
    <t>APPLE GROVE ESTATES</t>
  </si>
  <si>
    <t>MI0000450</t>
  </si>
  <si>
    <t>BATTLE CREEK - VERONA SYSTEM</t>
  </si>
  <si>
    <t>MI0040668</t>
  </si>
  <si>
    <t>APPLEWOOD</t>
  </si>
  <si>
    <t>MI0040202</t>
  </si>
  <si>
    <t>WILLOW VILLAGE</t>
  </si>
  <si>
    <t>MI0000236</t>
  </si>
  <si>
    <t>ARBOR RIDGE CONDOMINIUMS</t>
  </si>
  <si>
    <t>MI0005440</t>
  </si>
  <si>
    <t>PONTIAC</t>
  </si>
  <si>
    <t>MI0004778</t>
  </si>
  <si>
    <t>ARBOR VIEW</t>
  </si>
  <si>
    <t>MI0040241</t>
  </si>
  <si>
    <t>MY PLACE AT CATTAIL ESTATES</t>
  </si>
  <si>
    <t>MI0040223</t>
  </si>
  <si>
    <t>ARBOR VILLAGE</t>
  </si>
  <si>
    <t>MI0006170</t>
  </si>
  <si>
    <t>SOUTHGATE</t>
  </si>
  <si>
    <t>MI0066355</t>
  </si>
  <si>
    <t>ARGENTINE CARE CENTER</t>
  </si>
  <si>
    <t>MI0001692</t>
  </si>
  <si>
    <t>MACK. CO. HOUSING-CURTIS</t>
  </si>
  <si>
    <t>MI0040356</t>
  </si>
  <si>
    <t>ARLINGTON WOODS</t>
  </si>
  <si>
    <t>MI0004570</t>
  </si>
  <si>
    <t>MUSKEGON</t>
  </si>
  <si>
    <t>MI0000240</t>
  </si>
  <si>
    <t>ARMADA, VILLAGE OF</t>
  </si>
  <si>
    <t>MI0002145</t>
  </si>
  <si>
    <t>MACK. CO. HOUSING-ENGADINE</t>
  </si>
  <si>
    <t>MI0000242</t>
  </si>
  <si>
    <t>ARTESIAN SPRINGS RV RESORT</t>
  </si>
  <si>
    <t>MI0003131</t>
  </si>
  <si>
    <t>HIDDEN GLEN APARTMENTS</t>
  </si>
  <si>
    <t>MI0000245</t>
  </si>
  <si>
    <t>ASH TOWNSHIP</t>
  </si>
  <si>
    <t>MI0005480</t>
  </si>
  <si>
    <t>PORT HURON, CITY OF</t>
  </si>
  <si>
    <t>MI0000250</t>
  </si>
  <si>
    <t>ASHLEY, VILLAGE OF</t>
  </si>
  <si>
    <t>MI0005445</t>
  </si>
  <si>
    <t>LAKEVIEW CHALET CONDOMINIUMS</t>
  </si>
  <si>
    <t>MI0000260</t>
  </si>
  <si>
    <t>ATHENS</t>
  </si>
  <si>
    <t>MI0001730</t>
  </si>
  <si>
    <t>DEARBORN</t>
  </si>
  <si>
    <t>MI0000285</t>
  </si>
  <si>
    <t>AU GRES TOWNSHIP</t>
  </si>
  <si>
    <t>MI0005395</t>
  </si>
  <si>
    <t>GREEN BROOK ESTATES</t>
  </si>
  <si>
    <t>MI0000280</t>
  </si>
  <si>
    <t>AU GRES, CITY OF</t>
  </si>
  <si>
    <t>MI0000290</t>
  </si>
  <si>
    <t>AU SABLE TOWNSHIP</t>
  </si>
  <si>
    <t>MI0003857</t>
  </si>
  <si>
    <t>SERENE GARDENS OF DEWITT</t>
  </si>
  <si>
    <t>MI0000300</t>
  </si>
  <si>
    <t>AUBURN</t>
  </si>
  <si>
    <t>MI0003726</t>
  </si>
  <si>
    <t>SOUTHWEST MICHIGAN REGIONAL SANITARY SEW</t>
  </si>
  <si>
    <t>MI0005450</t>
  </si>
  <si>
    <t>AUBURN HILLS</t>
  </si>
  <si>
    <t>MI0003117</t>
  </si>
  <si>
    <t>HERITAGE APARTMENTS</t>
  </si>
  <si>
    <t>MI0000320</t>
  </si>
  <si>
    <t>AUGUSTA</t>
  </si>
  <si>
    <t>MI0005850</t>
  </si>
  <si>
    <t>SAGINAW, CITY OF</t>
  </si>
  <si>
    <t>MI0000321</t>
  </si>
  <si>
    <t>AUGUSTA TOWNSHIP</t>
  </si>
  <si>
    <t>MI0040212</t>
  </si>
  <si>
    <t>NORTHERN PINES</t>
  </si>
  <si>
    <t>MI0000324</t>
  </si>
  <si>
    <t>AUSABLE VALLEY COMMUNITY</t>
  </si>
  <si>
    <t>MI0002280</t>
  </si>
  <si>
    <t>FERNDALE</t>
  </si>
  <si>
    <t>MI0000322</t>
  </si>
  <si>
    <t>AUSTIN COMMONS II</t>
  </si>
  <si>
    <t>MI0002838</t>
  </si>
  <si>
    <t>GREAT LAKES WATER AUTHORITY</t>
  </si>
  <si>
    <t>MI0001910</t>
  </si>
  <si>
    <t>AUTUMN HILLS</t>
  </si>
  <si>
    <t>MI0002920</t>
  </si>
  <si>
    <t>GROSSE POINTE WOODS</t>
  </si>
  <si>
    <t>MI0040074</t>
  </si>
  <si>
    <t>AVRA ESTATES</t>
  </si>
  <si>
    <t>MI0000630</t>
  </si>
  <si>
    <t>BERKLEY</t>
  </si>
  <si>
    <t>MI0000340</t>
  </si>
  <si>
    <t>BAD AXE</t>
  </si>
  <si>
    <t>MI0005785</t>
  </si>
  <si>
    <t>ROMULUS</t>
  </si>
  <si>
    <t>MI0000347</t>
  </si>
  <si>
    <t>BAIR LAKE BIBLE CAMP</t>
  </si>
  <si>
    <t>MI0002970</t>
  </si>
  <si>
    <t>HAMTRAMCK</t>
  </si>
  <si>
    <t>MI0000355</t>
  </si>
  <si>
    <t>BALDWIN TOWNSHIP</t>
  </si>
  <si>
    <t>MI0001990</t>
  </si>
  <si>
    <t>EAST LANSING, CITY OF</t>
  </si>
  <si>
    <t>MI0000350</t>
  </si>
  <si>
    <t>BALDWIN, VILLAGE OF</t>
  </si>
  <si>
    <t>MI0003320</t>
  </si>
  <si>
    <t>HURON TWP</t>
  </si>
  <si>
    <t>MI0040041</t>
  </si>
  <si>
    <t>BALTIMORE TERRACE</t>
  </si>
  <si>
    <t>MI0005640</t>
  </si>
  <si>
    <t>REDFORD TOWNSHIP</t>
  </si>
  <si>
    <t>MI0000370</t>
  </si>
  <si>
    <t>BANCROFT, VILLAGE OF</t>
  </si>
  <si>
    <t>MI0004530</t>
  </si>
  <si>
    <t>MOUNT PLEASANT</t>
  </si>
  <si>
    <t>MI0000380</t>
  </si>
  <si>
    <t>BANGOR</t>
  </si>
  <si>
    <t>MI0004870</t>
  </si>
  <si>
    <t>NOVI, CITY OF</t>
  </si>
  <si>
    <t>MI0000390</t>
  </si>
  <si>
    <t>BANGOR TOWNSHIP</t>
  </si>
  <si>
    <t>MI0003520</t>
  </si>
  <si>
    <t>KALAMAZOO</t>
  </si>
  <si>
    <t>MI0000400</t>
  </si>
  <si>
    <t>BANGOR-MONITOR METRO DISTRICT</t>
  </si>
  <si>
    <t>MI0006950</t>
  </si>
  <si>
    <t>WAYNE</t>
  </si>
  <si>
    <t>MI0000410</t>
  </si>
  <si>
    <t>BARAGA</t>
  </si>
  <si>
    <t>MI0000470</t>
  </si>
  <si>
    <t>BAY CITY, CITY OF</t>
  </si>
  <si>
    <t>MI0000418</t>
  </si>
  <si>
    <t>BARN SWALLOW APARTMENTS</t>
  </si>
  <si>
    <t>MI0002310</t>
  </si>
  <si>
    <t>FLINT, CITY OF</t>
  </si>
  <si>
    <t>MI0000420</t>
  </si>
  <si>
    <t>BARODA</t>
  </si>
  <si>
    <t>MI0040092</t>
  </si>
  <si>
    <t>BARRON LAKE/ROSEBUSH</t>
  </si>
  <si>
    <t>MI0004580</t>
  </si>
  <si>
    <t>MUSKEGON HEIGHTS</t>
  </si>
  <si>
    <t>MI0000426</t>
  </si>
  <si>
    <t>BARRY TOWNSHIP</t>
  </si>
  <si>
    <t>MI0002170</t>
  </si>
  <si>
    <t>ESCANABA</t>
  </si>
  <si>
    <t>MI0040042</t>
  </si>
  <si>
    <t>BARRY'S RESORT</t>
  </si>
  <si>
    <t>MI0005120</t>
  </si>
  <si>
    <t>OWOSSO, CITY OF</t>
  </si>
  <si>
    <t>MI0000430</t>
  </si>
  <si>
    <t>BARTON HILLS</t>
  </si>
  <si>
    <t>MI0001773</t>
  </si>
  <si>
    <t>DEERWOOD SUBDIVISION</t>
  </si>
  <si>
    <t>MI0040005</t>
  </si>
  <si>
    <t>BASELINE MOBILE HOME PARK</t>
  </si>
  <si>
    <t>MI0003175</t>
  </si>
  <si>
    <t>HILLVIEW ESTATES SUBDIVISION</t>
  </si>
  <si>
    <t>MI0000440</t>
  </si>
  <si>
    <t>BATES TOWNSHIP</t>
  </si>
  <si>
    <t>MI0003342</t>
  </si>
  <si>
    <t>INDEPENDENCE TOWNSHIP</t>
  </si>
  <si>
    <t>MI0003190</t>
  </si>
  <si>
    <t>HOLLAND BOARD OF PUBLIC WORKS</t>
  </si>
  <si>
    <t>MI0006077</t>
  </si>
  <si>
    <t>BAVARIAN SOFTWATER VILLAGE</t>
  </si>
  <si>
    <t>MI0003960</t>
  </si>
  <si>
    <t>LUDINGTON</t>
  </si>
  <si>
    <t>MI0003140</t>
  </si>
  <si>
    <t>HIGHLAND PARK</t>
  </si>
  <si>
    <t>MI0004220</t>
  </si>
  <si>
    <t>MELVINDALE</t>
  </si>
  <si>
    <t>MI0000485</t>
  </si>
  <si>
    <t>BAY CO. DEPT OF WATER &amp; SEWER</t>
  </si>
  <si>
    <t>MI0004510</t>
  </si>
  <si>
    <t>MOUNT CLEMENS, CITY OF</t>
  </si>
  <si>
    <t>MI0000487</t>
  </si>
  <si>
    <t>BAY HARBOR CLUB</t>
  </si>
  <si>
    <t>MI0003870</t>
  </si>
  <si>
    <t>LINCOLN PARK</t>
  </si>
  <si>
    <t>MI0040128</t>
  </si>
  <si>
    <t>BAY SHORE ESTATES</t>
  </si>
  <si>
    <t>MI0005690</t>
  </si>
  <si>
    <t>RIVER ROUGE</t>
  </si>
  <si>
    <t>MI0000490</t>
  </si>
  <si>
    <t>BAY VIEW ASSOCIATION</t>
  </si>
  <si>
    <t>MI0005035</t>
  </si>
  <si>
    <t>ORION TOWNSHIP</t>
  </si>
  <si>
    <t>MI0040190</t>
  </si>
  <si>
    <t>BAYSIDE (DBA CONTINENTAL MHP)</t>
  </si>
  <si>
    <t>MI0003020</t>
  </si>
  <si>
    <t>HARPER WOODS</t>
  </si>
  <si>
    <t>MI0000501</t>
  </si>
  <si>
    <t>BEACH HOUSE APARTMENTS</t>
  </si>
  <si>
    <t>MI0005830</t>
  </si>
  <si>
    <t>ROYAL OAK, CITY OF</t>
  </si>
  <si>
    <t>MI0000503</t>
  </si>
  <si>
    <t>BEACON HOME AT COLBY</t>
  </si>
  <si>
    <t>MI0003100</t>
  </si>
  <si>
    <t>HAZEL PARK</t>
  </si>
  <si>
    <t>MI0040554</t>
  </si>
  <si>
    <t>BEAN CREEK RESORT</t>
  </si>
  <si>
    <t>MI0000505</t>
  </si>
  <si>
    <t>BEAR CREEK ESTATES CONDOMINIUM</t>
  </si>
  <si>
    <t>MI0002050</t>
  </si>
  <si>
    <t>ECORSE</t>
  </si>
  <si>
    <t>MI0000508</t>
  </si>
  <si>
    <t>BEAR CREEK VILLA</t>
  </si>
  <si>
    <t>MI0002745</t>
  </si>
  <si>
    <t>CHARTER TOWNSHIP OF GRAND BLANC</t>
  </si>
  <si>
    <t>MI0000510</t>
  </si>
  <si>
    <t>BEAR LAKE, VILLAGE OF</t>
  </si>
  <si>
    <t>MI0003440</t>
  </si>
  <si>
    <t>ISHPEMING</t>
  </si>
  <si>
    <t>MI0000514</t>
  </si>
  <si>
    <t>BEAVER CREEK RESORT</t>
  </si>
  <si>
    <t>MI0006310</t>
  </si>
  <si>
    <t>ST JOSEPH</t>
  </si>
  <si>
    <t>MI0000513</t>
  </si>
  <si>
    <t>BEAVER CREEK-GRAYLING TOWNSHIPS UA</t>
  </si>
  <si>
    <t>MI0006300</t>
  </si>
  <si>
    <t>ST. JOHNS, CITY OF</t>
  </si>
  <si>
    <t>MI0000517</t>
  </si>
  <si>
    <t>BEAVER ROAD AREA WATER ASSOC.</t>
  </si>
  <si>
    <t>MI0006101</t>
  </si>
  <si>
    <t>SOUTH HAVEN AREA WATER &amp; SEWER AUTHORITY</t>
  </si>
  <si>
    <t>MI0000518</t>
  </si>
  <si>
    <t>BEAVER TOWNSHIP</t>
  </si>
  <si>
    <t>MI0003360</t>
  </si>
  <si>
    <t>INKSTER</t>
  </si>
  <si>
    <t>MI0000520</t>
  </si>
  <si>
    <t>BEAVERTON</t>
  </si>
  <si>
    <t>MI0002900</t>
  </si>
  <si>
    <t>GROSSE POINTE PARK</t>
  </si>
  <si>
    <t>MI0040080</t>
  </si>
  <si>
    <t>BEDFORD HILLS</t>
  </si>
  <si>
    <t>MI0006385</t>
  </si>
  <si>
    <t>STERLING HEIGHTS, CITY OF</t>
  </si>
  <si>
    <t>MI0006435</t>
  </si>
  <si>
    <t>BEDFORD MEADOWS</t>
  </si>
  <si>
    <t>MI0003370</t>
  </si>
  <si>
    <t>IONIA</t>
  </si>
  <si>
    <t>MI0000540</t>
  </si>
  <si>
    <t>BEECHER METROPOLITAN DISTRICT</t>
  </si>
  <si>
    <t>MI0001290</t>
  </si>
  <si>
    <t>CENTER LINE, CITY OF</t>
  </si>
  <si>
    <t>MI0006627</t>
  </si>
  <si>
    <t>BEECHWOOD HILLS - TIMBER RIDGE</t>
  </si>
  <si>
    <t>MI0002020</t>
  </si>
  <si>
    <t>EATON RAPIDS, CITY OF</t>
  </si>
  <si>
    <t>MI0000560</t>
  </si>
  <si>
    <t>BELDING</t>
  </si>
  <si>
    <t>MI0001480</t>
  </si>
  <si>
    <t>CLINTON TOWNSHIP</t>
  </si>
  <si>
    <t>MI0000570</t>
  </si>
  <si>
    <t>BELLAIRE, VILLAGE OF</t>
  </si>
  <si>
    <t>MI0001960</t>
  </si>
  <si>
    <t>EAST GRAND RAPIDS</t>
  </si>
  <si>
    <t>MI0002850</t>
  </si>
  <si>
    <t>GREENVILLE</t>
  </si>
  <si>
    <t>MI0040081</t>
  </si>
  <si>
    <t>BELLEVUE MOBILE HOME PARK</t>
  </si>
  <si>
    <t>MI0000980</t>
  </si>
  <si>
    <t>BUENA VISTA TOWNSHIP</t>
  </si>
  <si>
    <t>MI0000590</t>
  </si>
  <si>
    <t>BELLEVUE, VILLAGE OF</t>
  </si>
  <si>
    <t>MI0001360</t>
  </si>
  <si>
    <t>CHEBOYGAN, CITY OF</t>
  </si>
  <si>
    <t>MI0000605</t>
  </si>
  <si>
    <t>BENTON CHARTER TOWNSHIP</t>
  </si>
  <si>
    <t>MI0004380</t>
  </si>
  <si>
    <t>MILAN</t>
  </si>
  <si>
    <t>MI0000600</t>
  </si>
  <si>
    <t>BENTON HARBOR</t>
  </si>
  <si>
    <t>MI0006440</t>
  </si>
  <si>
    <t>STURGIS</t>
  </si>
  <si>
    <t>MI0000610</t>
  </si>
  <si>
    <t>BENZONIA VILLAGE OF</t>
  </si>
  <si>
    <t>MI0006640</t>
  </si>
  <si>
    <t>TRAVERSE CITY</t>
  </si>
  <si>
    <t>MI0000620</t>
  </si>
  <si>
    <t>BERGLAND TOWNSHIP</t>
  </si>
  <si>
    <t>MI0006160</t>
  </si>
  <si>
    <t>SOUTHFIELD</t>
  </si>
  <si>
    <t>MI0003250</t>
  </si>
  <si>
    <t>HOWELL, CITY OF</t>
  </si>
  <si>
    <t>MI0000635</t>
  </si>
  <si>
    <t>BERLIN TOWNSHIP</t>
  </si>
  <si>
    <t>MI0003090</t>
  </si>
  <si>
    <t>HASTINGS</t>
  </si>
  <si>
    <t>MI0000650</t>
  </si>
  <si>
    <t>BERRIEN SPRINGS</t>
  </si>
  <si>
    <t>MI0006610</t>
  </si>
  <si>
    <t>THREE RIVERS</t>
  </si>
  <si>
    <t>MI0000660</t>
  </si>
  <si>
    <t>BESSEMER</t>
  </si>
  <si>
    <t>MI0002760</t>
  </si>
  <si>
    <t>GRAND HAVEN TOWNSHIP</t>
  </si>
  <si>
    <t>MI0005600</t>
  </si>
  <si>
    <t>BESSEMER TOWNSHIP</t>
  </si>
  <si>
    <t>MI0005900</t>
  </si>
  <si>
    <t>SALINE</t>
  </si>
  <si>
    <t>MI0000680</t>
  </si>
  <si>
    <t>BEULAH, VILLAGE OF</t>
  </si>
  <si>
    <t>MI0004860</t>
  </si>
  <si>
    <t>NORWAY</t>
  </si>
  <si>
    <t>MI0000690</t>
  </si>
  <si>
    <t>BEVERLY HILLS</t>
  </si>
  <si>
    <t>MI0001860</t>
  </si>
  <si>
    <t>DOWAGIAC</t>
  </si>
  <si>
    <t>MI0000705</t>
  </si>
  <si>
    <t>BIG CREEK/MENTOR UTILITY AUTHORITY</t>
  </si>
  <si>
    <t>MI0006270</t>
  </si>
  <si>
    <t>ST. CLAIR, CITY OF</t>
  </si>
  <si>
    <t>MI0000710</t>
  </si>
  <si>
    <t>BIG RAPIDS</t>
  </si>
  <si>
    <t>MI0000715</t>
  </si>
  <si>
    <t>BINGHAM FARMS</t>
  </si>
  <si>
    <t>MI0003640</t>
  </si>
  <si>
    <t>KINGSFORD</t>
  </si>
  <si>
    <t>MI0000716</t>
  </si>
  <si>
    <t>BINGHAM TOWNSHIP</t>
  </si>
  <si>
    <t>MI0006760</t>
  </si>
  <si>
    <t>UTICA, CITY OF</t>
  </si>
  <si>
    <t>MI0000722</t>
  </si>
  <si>
    <t>BIRCH RUN TOWNSHIP</t>
  </si>
  <si>
    <t>MI0004740</t>
  </si>
  <si>
    <t>NILES</t>
  </si>
  <si>
    <t>MI0000720</t>
  </si>
  <si>
    <t>BIRCH RUN, VILLAGE OF</t>
  </si>
  <si>
    <t>MI0002750</t>
  </si>
  <si>
    <t>GRAND HAVEN</t>
  </si>
  <si>
    <t>MI0040082</t>
  </si>
  <si>
    <t>BIRCHWOOD ESTATES</t>
  </si>
  <si>
    <t>MI0002880</t>
  </si>
  <si>
    <t>GROSSE POINTE, CITY OF</t>
  </si>
  <si>
    <t>MI0000725</t>
  </si>
  <si>
    <t>BIRCHWOOD FARMS</t>
  </si>
  <si>
    <t>MI0000730</t>
  </si>
  <si>
    <t>BIRMINGHAM</t>
  </si>
  <si>
    <t>MI0003400</t>
  </si>
  <si>
    <t>IRON MOUNTAIN</t>
  </si>
  <si>
    <t>MI0000731</t>
  </si>
  <si>
    <t>BISHOP LAKE APARTMENTS</t>
  </si>
  <si>
    <t>MI0004880</t>
  </si>
  <si>
    <t>OAK PARK</t>
  </si>
  <si>
    <t>MI0000733</t>
  </si>
  <si>
    <t>BLACK BEAR FARMS</t>
  </si>
  <si>
    <t>MI0001330</t>
  </si>
  <si>
    <t>CHARLEVOIX</t>
  </si>
  <si>
    <t>MI0000740</t>
  </si>
  <si>
    <t>BLACKMAN TOWNSHIP</t>
  </si>
  <si>
    <t>MI0005820</t>
  </si>
  <si>
    <t>ROSEVILLE, CITY OF</t>
  </si>
  <si>
    <t>MI0000743</t>
  </si>
  <si>
    <t>BLAIR TOWNSHIP</t>
  </si>
  <si>
    <t>MI0004780</t>
  </si>
  <si>
    <t>NORTH MUSKEGON</t>
  </si>
  <si>
    <t>MI0000750</t>
  </si>
  <si>
    <t>BLISSFIELD</t>
  </si>
  <si>
    <t>MI0004370</t>
  </si>
  <si>
    <t>MIDLAND, CITY OF</t>
  </si>
  <si>
    <t>MI0000775</t>
  </si>
  <si>
    <t>BLOOMFIELD HILLS</t>
  </si>
  <si>
    <t>MI0004450</t>
  </si>
  <si>
    <t>MONROE</t>
  </si>
  <si>
    <t>MI0000790</t>
  </si>
  <si>
    <t>BLOOMFIELD TOWNSHIP</t>
  </si>
  <si>
    <t>MI0006230</t>
  </si>
  <si>
    <t>SPRING LAKE</t>
  </si>
  <si>
    <t>MI0003925</t>
  </si>
  <si>
    <t>BLUE LAKE RESIDENCES</t>
  </si>
  <si>
    <t>MI0005060</t>
  </si>
  <si>
    <t>OTSEGO</t>
  </si>
  <si>
    <t>MI0000794</t>
  </si>
  <si>
    <t>BLUE SPRUCE APARTMENTS</t>
  </si>
  <si>
    <t>MI0000795</t>
  </si>
  <si>
    <t>BLUE WATER VILLAGE WELL SITE, LLC</t>
  </si>
  <si>
    <t>MI0000800</t>
  </si>
  <si>
    <t>BOYNE CITY, CITY OF</t>
  </si>
  <si>
    <t>MI0000798</t>
  </si>
  <si>
    <t>BLUMFIELD-REESE WATER AUTH.</t>
  </si>
  <si>
    <t>MI0001500</t>
  </si>
  <si>
    <t>COLDWATER</t>
  </si>
  <si>
    <t>MI0000799</t>
  </si>
  <si>
    <t>BOYNAIRE LANDOWNERS ASSOCIATION</t>
  </si>
  <si>
    <t>MI0006780</t>
  </si>
  <si>
    <t>VASSAR, CITY OF</t>
  </si>
  <si>
    <t>MI0000810</t>
  </si>
  <si>
    <t>BOYNE FALLS, VILLAGE OF</t>
  </si>
  <si>
    <t>MI0005300</t>
  </si>
  <si>
    <t>PETOSKEY, CITY OF</t>
  </si>
  <si>
    <t>MI0000815</t>
  </si>
  <si>
    <t>BOYNE MOUNTAIN RESORT</t>
  </si>
  <si>
    <t>MI0004160</t>
  </si>
  <si>
    <t>MARYSVILLE, CITY OF</t>
  </si>
  <si>
    <t>MI0000820</t>
  </si>
  <si>
    <t>BRECKENRIDGE, VILLAGE OF</t>
  </si>
  <si>
    <t>MI0001980</t>
  </si>
  <si>
    <t>BREITUNG TWP.-EAST KINGSFORD</t>
  </si>
  <si>
    <t>MI0006930</t>
  </si>
  <si>
    <t>WATERVLIET</t>
  </si>
  <si>
    <t>MI0002450</t>
  </si>
  <si>
    <t>BRIARCLIFF HOMEOWNERS ASSN</t>
  </si>
  <si>
    <t>MI0003170</t>
  </si>
  <si>
    <t>HILLSDALE</t>
  </si>
  <si>
    <t>MI0000840</t>
  </si>
  <si>
    <t>BRIDGEPORT TOWNSHIP</t>
  </si>
  <si>
    <t>MI0001340</t>
  </si>
  <si>
    <t>CHARLOTTE, CITY OF</t>
  </si>
  <si>
    <t>MI0000850</t>
  </si>
  <si>
    <t>BRIDGMAN</t>
  </si>
  <si>
    <t>MI0002550</t>
  </si>
  <si>
    <t>GARDEN CITY</t>
  </si>
  <si>
    <t>MI0000860</t>
  </si>
  <si>
    <t>BRIGHTON, CITY OF</t>
  </si>
  <si>
    <t>MI0000877</t>
  </si>
  <si>
    <t>BRILEY TOWNSHIP</t>
  </si>
  <si>
    <t>MI0004250</t>
  </si>
  <si>
    <t>MENOMINEE</t>
  </si>
  <si>
    <t>MI0000890</t>
  </si>
  <si>
    <t>BRITTON</t>
  </si>
  <si>
    <t>MI0003420</t>
  </si>
  <si>
    <t>IRONWOOD</t>
  </si>
  <si>
    <t>MI0000910</t>
  </si>
  <si>
    <t>BRONSON</t>
  </si>
  <si>
    <t>MI0003280</t>
  </si>
  <si>
    <t>HUDSON</t>
  </si>
  <si>
    <t>MI0000894</t>
  </si>
  <si>
    <t>BROOK OF HOUGHTON LAKE</t>
  </si>
  <si>
    <t>MI0004720</t>
  </si>
  <si>
    <t>NEWBERRY WATER &amp; LIGHT</t>
  </si>
  <si>
    <t>MI0000045</t>
  </si>
  <si>
    <t>BROOKDALE ADRIAN</t>
  </si>
  <si>
    <t>MI0006280</t>
  </si>
  <si>
    <t>ST. CLAIR SHORES, CITY OF</t>
  </si>
  <si>
    <t>MI0000920</t>
  </si>
  <si>
    <t>BROOKLYN</t>
  </si>
  <si>
    <t>MI0004030</t>
  </si>
  <si>
    <t>MANISTEE, CITY OF</t>
  </si>
  <si>
    <t>MI0040218</t>
  </si>
  <si>
    <t>BROOMFIELD VALLEY</t>
  </si>
  <si>
    <t>MI0004110</t>
  </si>
  <si>
    <t>MARLETTE, CITY OF</t>
  </si>
  <si>
    <t>MI0000930</t>
  </si>
  <si>
    <t>BROWN CITY</t>
  </si>
  <si>
    <t>MI0001950</t>
  </si>
  <si>
    <t>EASTPOINTE, CITY OF</t>
  </si>
  <si>
    <t>MI0000940</t>
  </si>
  <si>
    <t>BROWNSTOWN TOWNSHIP</t>
  </si>
  <si>
    <t>MI0004040</t>
  </si>
  <si>
    <t>MANISTIQUE</t>
  </si>
  <si>
    <t>MI0000951</t>
  </si>
  <si>
    <t>BRUCE TOWNSHIP</t>
  </si>
  <si>
    <t>MI0006600</t>
  </si>
  <si>
    <t>THREE OAKS</t>
  </si>
  <si>
    <t>MI0000960</t>
  </si>
  <si>
    <t>BUCHANAN</t>
  </si>
  <si>
    <t>MI0004490</t>
  </si>
  <si>
    <t>MORENCI</t>
  </si>
  <si>
    <t>MI0000970</t>
  </si>
  <si>
    <t>BUCKLEY, VILLAGE OF</t>
  </si>
  <si>
    <t>MI0040051</t>
  </si>
  <si>
    <t>BUENA VISTA ESTATES</t>
  </si>
  <si>
    <t>MI0002600</t>
  </si>
  <si>
    <t>GAYLORD, CITY OF</t>
  </si>
  <si>
    <t>MI0001160</t>
  </si>
  <si>
    <t>CARROLLTON TOWNSHIP</t>
  </si>
  <si>
    <t>MI0001000</t>
  </si>
  <si>
    <t>BURR OAK</t>
  </si>
  <si>
    <t>MI0001440</t>
  </si>
  <si>
    <t>CLAWSON</t>
  </si>
  <si>
    <t>MI0002780</t>
  </si>
  <si>
    <t>BURT TOWNSHIP</t>
  </si>
  <si>
    <t>MI0001005</t>
  </si>
  <si>
    <t>BURT VIEW ASSOCIATION</t>
  </si>
  <si>
    <t>MI0004650</t>
  </si>
  <si>
    <t>NEGAUNEE</t>
  </si>
  <si>
    <t>MI0001008</t>
  </si>
  <si>
    <t>BURTCHVILLE TOWNSHIP</t>
  </si>
  <si>
    <t>MI0005400</t>
  </si>
  <si>
    <t>PLYMOUTH</t>
  </si>
  <si>
    <t>MI0001010</t>
  </si>
  <si>
    <t>BURTON, CITY OF</t>
  </si>
  <si>
    <t>MI0002910</t>
  </si>
  <si>
    <t>GROSSE POINTE SHORES</t>
  </si>
  <si>
    <t>MI0001015</t>
  </si>
  <si>
    <t>BUTTERCUP SHORES</t>
  </si>
  <si>
    <t>MI0003060</t>
  </si>
  <si>
    <t>HART</t>
  </si>
  <si>
    <t>MI0001018</t>
  </si>
  <si>
    <t>BUTTERFIELD WOODS SUBDIVISION</t>
  </si>
  <si>
    <t>MI0001380</t>
  </si>
  <si>
    <t>CHESANING, VILLAGE OF</t>
  </si>
  <si>
    <t>MI0001019</t>
  </si>
  <si>
    <t>BYRAM RIDGE</t>
  </si>
  <si>
    <t>MI0001020</t>
  </si>
  <si>
    <t>BYRON, VILLAGE OF</t>
  </si>
  <si>
    <t>MI0003000</t>
  </si>
  <si>
    <t>HARBOR BEACH, CITY OF</t>
  </si>
  <si>
    <t>MI0001023</t>
  </si>
  <si>
    <t>BYRON-GAINES UTILITY AUTHORITY</t>
  </si>
  <si>
    <t>MI0005390</t>
  </si>
  <si>
    <t>PLEASANT RIDGE</t>
  </si>
  <si>
    <t>MI0040093</t>
  </si>
  <si>
    <t>C &amp; M MOBILE HOME COURT</t>
  </si>
  <si>
    <t>MI0003560</t>
  </si>
  <si>
    <t>KALKASKA, VILLAGE OF</t>
  </si>
  <si>
    <t>MI0040599</t>
  </si>
  <si>
    <t>CADGEWITH FARMS</t>
  </si>
  <si>
    <t>MI0001030</t>
  </si>
  <si>
    <t>CADILLAC, CITY OF</t>
  </si>
  <si>
    <t>MI0005530</t>
  </si>
  <si>
    <t>PORTLAND</t>
  </si>
  <si>
    <t>MI0001037</t>
  </si>
  <si>
    <t>CALEDONIA ESTATES</t>
  </si>
  <si>
    <t>MI0003070</t>
  </si>
  <si>
    <t>HARTFORD</t>
  </si>
  <si>
    <t>MI0001039</t>
  </si>
  <si>
    <t>CALEDONIA TOWNSHIP</t>
  </si>
  <si>
    <t>MI0001040</t>
  </si>
  <si>
    <t>CALUMET</t>
  </si>
  <si>
    <t>MI0001046</t>
  </si>
  <si>
    <t>CALUMET TOWNSHIP</t>
  </si>
  <si>
    <t>MI0006940</t>
  </si>
  <si>
    <t>WAYLAND</t>
  </si>
  <si>
    <t>MI0040068</t>
  </si>
  <si>
    <t>CAMBRIDGE VILLAGE</t>
  </si>
  <si>
    <t>MI0040155</t>
  </si>
  <si>
    <t>NORTH MORRIS ESTATES</t>
  </si>
  <si>
    <t>MI0001050</t>
  </si>
  <si>
    <t>CAMDEN</t>
  </si>
  <si>
    <t>MI0003950</t>
  </si>
  <si>
    <t>LOWELL</t>
  </si>
  <si>
    <t>MI0001052</t>
  </si>
  <si>
    <t>CAMP ARCADIA / LCA</t>
  </si>
  <si>
    <t>MI0001250</t>
  </si>
  <si>
    <t>CASSOPOLIS</t>
  </si>
  <si>
    <t>MI0040617</t>
  </si>
  <si>
    <t>CANTERBURY ESTATES MHP</t>
  </si>
  <si>
    <t>MI0007100</t>
  </si>
  <si>
    <t>WHITEHALL</t>
  </si>
  <si>
    <t>MI0001100</t>
  </si>
  <si>
    <t>CANTON TOWNSHIP</t>
  </si>
  <si>
    <t>MI0001110</t>
  </si>
  <si>
    <t>CAPAC, VILLAGE OF</t>
  </si>
  <si>
    <t>MI0005780</t>
  </si>
  <si>
    <t>ROMEO, VILLAGE OF</t>
  </si>
  <si>
    <t>MI0040675</t>
  </si>
  <si>
    <t>CAPITAL CROSSINGS</t>
  </si>
  <si>
    <t>MI0004120</t>
  </si>
  <si>
    <t>MARQUETTE</t>
  </si>
  <si>
    <t>MI0001125</t>
  </si>
  <si>
    <t>CARNEY-NADEAU WATER &amp; SEWER AUTHORITY</t>
  </si>
  <si>
    <t>MI0040482</t>
  </si>
  <si>
    <t>CARO RIVERVIEW MHP LLC</t>
  </si>
  <si>
    <t>MI0003015</t>
  </si>
  <si>
    <t>HARBOR SPRINGS AREA AUTHORITY</t>
  </si>
  <si>
    <t>MI0001130</t>
  </si>
  <si>
    <t>CARO, CITY OF</t>
  </si>
  <si>
    <t>MI0001664</t>
  </si>
  <si>
    <t>CROCKERY TOWNSHIP</t>
  </si>
  <si>
    <t>MI0007070</t>
  </si>
  <si>
    <t>WHITE PIGEON</t>
  </si>
  <si>
    <t>MI0001170</t>
  </si>
  <si>
    <t>CARSON CITY</t>
  </si>
  <si>
    <t>MI0006110</t>
  </si>
  <si>
    <t>SOUTH LYON, CITY OF</t>
  </si>
  <si>
    <t>MI0001180</t>
  </si>
  <si>
    <t>CARSONVILLE, VILLAGE OF</t>
  </si>
  <si>
    <t>MI0006320</t>
  </si>
  <si>
    <t>ST. LOUIS, CITY OF</t>
  </si>
  <si>
    <t>MI0001195</t>
  </si>
  <si>
    <t>CASEVILLE TOWNSHIP</t>
  </si>
  <si>
    <t>MI0001490</t>
  </si>
  <si>
    <t>CLIO, CITY OF</t>
  </si>
  <si>
    <t>MI0001190</t>
  </si>
  <si>
    <t>CASEVILLE, CITY OF</t>
  </si>
  <si>
    <t>MI0002270</t>
  </si>
  <si>
    <t>FENTON, CITY OF</t>
  </si>
  <si>
    <t>MI0001210</t>
  </si>
  <si>
    <t>CASPIAN</t>
  </si>
  <si>
    <t>MI0003830</t>
  </si>
  <si>
    <t>LAWTON</t>
  </si>
  <si>
    <t>MI0001220</t>
  </si>
  <si>
    <t>CASS CITY, VILLAGE OF</t>
  </si>
  <si>
    <t>MI0003810</t>
  </si>
  <si>
    <t>LAURIUM</t>
  </si>
  <si>
    <t>MI0005234</t>
  </si>
  <si>
    <t>CASS COUNTY WATER SYSTEM</t>
  </si>
  <si>
    <t>MI0001230</t>
  </si>
  <si>
    <t>CASS LAKESIDE SUBDIVISION</t>
  </si>
  <si>
    <t>MI0004830</t>
  </si>
  <si>
    <t>NORTHVILLE</t>
  </si>
  <si>
    <t>MI0006284</t>
  </si>
  <si>
    <t>ST. CLAIR WATER AND SEWER AUTHORITY</t>
  </si>
  <si>
    <t>MI0001256</t>
  </si>
  <si>
    <t>CECIL FARMS</t>
  </si>
  <si>
    <t>MI0006530</t>
  </si>
  <si>
    <t>SYLVAN LAKE</t>
  </si>
  <si>
    <t>MI0001258</t>
  </si>
  <si>
    <t>CEDAR CREEK TOWNSHIP</t>
  </si>
  <si>
    <t>MI0001750</t>
  </si>
  <si>
    <t>DECATUR</t>
  </si>
  <si>
    <t>MI0001252</t>
  </si>
  <si>
    <t>CEDAR CREEK WATER COMPANY</t>
  </si>
  <si>
    <t>MI0006975</t>
  </si>
  <si>
    <t>WEST BLOOMFIELD TOWNSHIP</t>
  </si>
  <si>
    <t>MI0001253</t>
  </si>
  <si>
    <t>CEDAR HILL ASSISTED LIVING</t>
  </si>
  <si>
    <t>MI0005810</t>
  </si>
  <si>
    <t>ROSCOMMON, VILLAGE OF</t>
  </si>
  <si>
    <t>MI0001260</t>
  </si>
  <si>
    <t>CEDAR SPRINGS</t>
  </si>
  <si>
    <t>MI0002190</t>
  </si>
  <si>
    <t>EVART, CITY OF</t>
  </si>
  <si>
    <t>MI0040375</t>
  </si>
  <si>
    <t>CEDARBROOK ESTATES</t>
  </si>
  <si>
    <t>MI0003720</t>
  </si>
  <si>
    <t>LAKE LINDEN</t>
  </si>
  <si>
    <t>MI0040619</t>
  </si>
  <si>
    <t>CEDARFIELD MOBILE HOME PARK</t>
  </si>
  <si>
    <t>MI0003490</t>
  </si>
  <si>
    <t>JONESVILLE</t>
  </si>
  <si>
    <t>MI0005330</t>
  </si>
  <si>
    <t>PINCONNING, CITY OF</t>
  </si>
  <si>
    <t>MI0001300</t>
  </si>
  <si>
    <t>CENTRAL LAKE, VILLAGE OF</t>
  </si>
  <si>
    <t>MI0001310</t>
  </si>
  <si>
    <t>CENTREVILLE</t>
  </si>
  <si>
    <t>MI0006260</t>
  </si>
  <si>
    <t>ST. CHARLES, VILLAGE OF</t>
  </si>
  <si>
    <t>MI0001325</t>
  </si>
  <si>
    <t>CHALET DU PAW PAW CONDOMINIUMS</t>
  </si>
  <si>
    <t>MI0002070</t>
  </si>
  <si>
    <t>EDMORE</t>
  </si>
  <si>
    <t>MI0040125</t>
  </si>
  <si>
    <t>CHALET ESTATES MOBILE HOME PARK</t>
  </si>
  <si>
    <t>MI0004170</t>
  </si>
  <si>
    <t>MASON, CITY OF</t>
  </si>
  <si>
    <t>MI0001327</t>
  </si>
  <si>
    <t>CHARLESTON TOWNSHIP</t>
  </si>
  <si>
    <t>MI0002980</t>
  </si>
  <si>
    <t>HANCOCK</t>
  </si>
  <si>
    <t>MI0004560</t>
  </si>
  <si>
    <t>MUNISING</t>
  </si>
  <si>
    <t>MI0001335</t>
  </si>
  <si>
    <t>CHARLEVOIX TOWNSHIP</t>
  </si>
  <si>
    <t>MI0005670</t>
  </si>
  <si>
    <t>RICHMOND, CITY OF</t>
  </si>
  <si>
    <t>MI0005730</t>
  </si>
  <si>
    <t>ROCKFORD</t>
  </si>
  <si>
    <t>MI0005034</t>
  </si>
  <si>
    <t>ORONOKO TOWNSHIP</t>
  </si>
  <si>
    <t>MI0000170</t>
  </si>
  <si>
    <t>CHARTER TOWNSHIP OF ALPENA</t>
  </si>
  <si>
    <t>MI0005490</t>
  </si>
  <si>
    <t>PORT HURON TOWNSHIP</t>
  </si>
  <si>
    <t>MI0001790</t>
  </si>
  <si>
    <t>CHARTER TOWNSHIP OF DELTA</t>
  </si>
  <si>
    <t>MI0005950</t>
  </si>
  <si>
    <t>SAULT STE MARIE</t>
  </si>
  <si>
    <t>MI0006970</t>
  </si>
  <si>
    <t>WEBBERVILLE, VILLAGE OF</t>
  </si>
  <si>
    <t>MI0001350</t>
  </si>
  <si>
    <t>CHASSELL TOWNSHIP</t>
  </si>
  <si>
    <t>MI0001353</t>
  </si>
  <si>
    <t>CHATEAUX DU LAC CONDOMINIUMS</t>
  </si>
  <si>
    <t>MI0006725</t>
  </si>
  <si>
    <t>UNION TOWNSHIP</t>
  </si>
  <si>
    <t>MI0001355</t>
  </si>
  <si>
    <t>CHATHAM</t>
  </si>
  <si>
    <t>MI0001810</t>
  </si>
  <si>
    <t>DEXTER</t>
  </si>
  <si>
    <t>MI0001370</t>
  </si>
  <si>
    <t>CHELSEA</t>
  </si>
  <si>
    <t>MI0001371</t>
  </si>
  <si>
    <t>CHERRY CREEK VILLAGE</t>
  </si>
  <si>
    <t>MI0005260</t>
  </si>
  <si>
    <t>PENTWATER</t>
  </si>
  <si>
    <t>MI0006420</t>
  </si>
  <si>
    <t>STOCKBRIDGE, VILLAGE OF</t>
  </si>
  <si>
    <t>MI0001390</t>
  </si>
  <si>
    <t>CHESTERFIELD TOWNSHIP</t>
  </si>
  <si>
    <t>MI0004050</t>
  </si>
  <si>
    <t>MANTON, CITY OF</t>
  </si>
  <si>
    <t>MI0001397</t>
  </si>
  <si>
    <t>CHESTNUT HILLS</t>
  </si>
  <si>
    <t>MI0003525</t>
  </si>
  <si>
    <t>KALAMAZOO LAKE SEWER &amp; WATER AUTHORITY</t>
  </si>
  <si>
    <t>MI0001400</t>
  </si>
  <si>
    <t>CHIKAMING TOWNSHIP</t>
  </si>
  <si>
    <t>MI0006800</t>
  </si>
  <si>
    <t>VICKSBURG</t>
  </si>
  <si>
    <t>MI0040376</t>
  </si>
  <si>
    <t>CHILDS LAKE ESTATES MHC</t>
  </si>
  <si>
    <t>MI0004312</t>
  </si>
  <si>
    <t>METAMORA, VILLAGE OF</t>
  </si>
  <si>
    <t>MI0001416</t>
  </si>
  <si>
    <t>CHOCOLAY BUNGALOWS</t>
  </si>
  <si>
    <t>MI0006000</t>
  </si>
  <si>
    <t>SHELBY</t>
  </si>
  <si>
    <t>MI0040679</t>
  </si>
  <si>
    <t>CIDERMILL CROSSINGS</t>
  </si>
  <si>
    <t>MI0006710</t>
  </si>
  <si>
    <t>UBLY, VILLAGE OF</t>
  </si>
  <si>
    <t>MI0040339</t>
  </si>
  <si>
    <t>CIRCLE DRIVE MOBILE HOME PARK</t>
  </si>
  <si>
    <t>MI0007060</t>
  </si>
  <si>
    <t>WHITE CLOUD</t>
  </si>
  <si>
    <t>MI0001420</t>
  </si>
  <si>
    <t>CLARE, CITY OF</t>
  </si>
  <si>
    <t>MI0003240</t>
  </si>
  <si>
    <t>HOWARD CITY</t>
  </si>
  <si>
    <t>MI0040377</t>
  </si>
  <si>
    <t>CLARKSTON LAKE ESTATES</t>
  </si>
  <si>
    <t>MI0004010</t>
  </si>
  <si>
    <t>MANCELONA AREA WATER AND SEWER AUTHORITY</t>
  </si>
  <si>
    <t>MI0002640</t>
  </si>
  <si>
    <t>GLADSTONE</t>
  </si>
  <si>
    <t>MI0001450</t>
  </si>
  <si>
    <t>CLAY TOWNSHIP</t>
  </si>
  <si>
    <t>MI0005800</t>
  </si>
  <si>
    <t>ROOSEVELT PARK</t>
  </si>
  <si>
    <t>MI0006901</t>
  </si>
  <si>
    <t>CLEAN WATER ASSOCIATION, INC.</t>
  </si>
  <si>
    <t>MI0001460</t>
  </si>
  <si>
    <t>CLIFFORD, VILLAGE OF</t>
  </si>
  <si>
    <t>MI0006290</t>
  </si>
  <si>
    <t>ST IGNACE</t>
  </si>
  <si>
    <t>MI0001465</t>
  </si>
  <si>
    <t>CLIMAX</t>
  </si>
  <si>
    <t>MI0003130</t>
  </si>
  <si>
    <t>HESPERIA</t>
  </si>
  <si>
    <t>MI0040248</t>
  </si>
  <si>
    <t>CLIMAX MOBILE HOME PARK</t>
  </si>
  <si>
    <t>MI0005970</t>
  </si>
  <si>
    <t>SCHOOLCRAFT</t>
  </si>
  <si>
    <t>MI0001470</t>
  </si>
  <si>
    <t>CLINTON</t>
  </si>
  <si>
    <t>MI0001900</t>
  </si>
  <si>
    <t>DURAND, CITY OF</t>
  </si>
  <si>
    <t>MI0040305</t>
  </si>
  <si>
    <t>CLINTON ESTATES</t>
  </si>
  <si>
    <t>MI0004710</t>
  </si>
  <si>
    <t>NEWAYGO</t>
  </si>
  <si>
    <t>MI0006360</t>
  </si>
  <si>
    <t>STANTON</t>
  </si>
  <si>
    <t>MI0001493</t>
  </si>
  <si>
    <t>CLYDE TOWNSHIP</t>
  </si>
  <si>
    <t>MI0006720</t>
  </si>
  <si>
    <t>UNION CITY</t>
  </si>
  <si>
    <t>MI0040225</t>
  </si>
  <si>
    <t>COACHMANS COVE</t>
  </si>
  <si>
    <t>MI0006282</t>
  </si>
  <si>
    <t>ST. CLAIR TOWNSHIP</t>
  </si>
  <si>
    <t>MI0001520</t>
  </si>
  <si>
    <t>COLEMAN, CITY OF</t>
  </si>
  <si>
    <t>MI0040379</t>
  </si>
  <si>
    <t>COLLEGE HEIGHTS MOBILE HOME PARK</t>
  </si>
  <si>
    <t>MI0002430</t>
  </si>
  <si>
    <t>FRANKFORT, CITY OF</t>
  </si>
  <si>
    <t>MI0001530</t>
  </si>
  <si>
    <t>COLOMA</t>
  </si>
  <si>
    <t>MI0001535</t>
  </si>
  <si>
    <t>COLOMA TOWNSHIP</t>
  </si>
  <si>
    <t>MI0001572</t>
  </si>
  <si>
    <t>COLOMBIERE CENTER</t>
  </si>
  <si>
    <t>MI0004520</t>
  </si>
  <si>
    <t>MOUNT MORRIS, CITY OF</t>
  </si>
  <si>
    <t>MI0001540</t>
  </si>
  <si>
    <t>COLON</t>
  </si>
  <si>
    <t>MI0003330</t>
  </si>
  <si>
    <t>PORTAGE TOWNSHIP</t>
  </si>
  <si>
    <t>MI0040094</t>
  </si>
  <si>
    <t>COLONIAL ACRES</t>
  </si>
  <si>
    <t>MI0004070</t>
  </si>
  <si>
    <t>MARCELLUS</t>
  </si>
  <si>
    <t>MI0001552</t>
  </si>
  <si>
    <t>COLONY BAY CONDOMINIUMS</t>
  </si>
  <si>
    <t>MI0005210</t>
  </si>
  <si>
    <t>PAW PAW</t>
  </si>
  <si>
    <t>MI0001565</t>
  </si>
  <si>
    <t>COLUMBIA LAKES ESTATES</t>
  </si>
  <si>
    <t>MI0004150</t>
  </si>
  <si>
    <t>MARSHALL</t>
  </si>
  <si>
    <t>MI0001570</t>
  </si>
  <si>
    <t>COLUMBIAVILLE, VILLAGE OF</t>
  </si>
  <si>
    <t>MI0006090</t>
  </si>
  <si>
    <t>STAMBAUGH TOWNSHIP-WEST BRULE</t>
  </si>
  <si>
    <t>MI0001573</t>
  </si>
  <si>
    <t>COMMERCE TOWNSHIP</t>
  </si>
  <si>
    <t>MI0005650</t>
  </si>
  <si>
    <t>REED CITY, CITY OF</t>
  </si>
  <si>
    <t>MI0001580</t>
  </si>
  <si>
    <t>CONCORD</t>
  </si>
  <si>
    <t>MI0004470</t>
  </si>
  <si>
    <t>MONTAGUE</t>
  </si>
  <si>
    <t>MI0001600</t>
  </si>
  <si>
    <t>CONSTANTINE</t>
  </si>
  <si>
    <t>MI0001770</t>
  </si>
  <si>
    <t>DEERFIELD</t>
  </si>
  <si>
    <t>MI0040126</t>
  </si>
  <si>
    <t>CONWAY COMMONS MOBILE HOME PARK</t>
  </si>
  <si>
    <t>MI0004400</t>
  </si>
  <si>
    <t>MILLINGTON, VILLAGE OF</t>
  </si>
  <si>
    <t>MI0001610</t>
  </si>
  <si>
    <t>COOPERSVILLE</t>
  </si>
  <si>
    <t>MI0001870</t>
  </si>
  <si>
    <t>DRYDEN, VILLAGE OF</t>
  </si>
  <si>
    <t>MI0001620</t>
  </si>
  <si>
    <t>COPPER CITY</t>
  </si>
  <si>
    <t>MI0004000</t>
  </si>
  <si>
    <t>MADISON HEIGHTS</t>
  </si>
  <si>
    <t>MI0001631</t>
  </si>
  <si>
    <t>COPPER MEADOWS</t>
  </si>
  <si>
    <t>MI0004060</t>
  </si>
  <si>
    <t>MAPLE RAPIDS, VILLAGE OF</t>
  </si>
  <si>
    <t>MI0060640</t>
  </si>
  <si>
    <t>COREWELL HEALTH-BERRIEN CNTR</t>
  </si>
  <si>
    <t>MI0003700</t>
  </si>
  <si>
    <t>LAKE CITY, CITY OF</t>
  </si>
  <si>
    <t>MI0070017</t>
  </si>
  <si>
    <t>COREWELLHEALTH GR KALAMAZOO</t>
  </si>
  <si>
    <t>MI0002890</t>
  </si>
  <si>
    <t>GROSSE POINTE FARMS</t>
  </si>
  <si>
    <t>MI0001640</t>
  </si>
  <si>
    <t>CORUNNA, CITY OF</t>
  </si>
  <si>
    <t>MI0005977</t>
  </si>
  <si>
    <t>SCIO TOWNSHIP</t>
  </si>
  <si>
    <t>MI0001643</t>
  </si>
  <si>
    <t>COTTAGE COVE ON ELK LAKE</t>
  </si>
  <si>
    <t>MI0002840</t>
  </si>
  <si>
    <t>GRAYLING, CITY OF</t>
  </si>
  <si>
    <t>MI0005349</t>
  </si>
  <si>
    <t>COTTAGE HS, LLC (PINEVIEW COTTAGE)</t>
  </si>
  <si>
    <t>MI0005010</t>
  </si>
  <si>
    <t>ONAWAY, CITY OF</t>
  </si>
  <si>
    <t>MI0001650</t>
  </si>
  <si>
    <t>COTTRELLVILLE TOWNSHIP</t>
  </si>
  <si>
    <t>MI0002830</t>
  </si>
  <si>
    <t>GRASS LAKE</t>
  </si>
  <si>
    <t>MI0006540</t>
  </si>
  <si>
    <t>TAWAS CITY, CITY OF</t>
  </si>
  <si>
    <t>MI0001655</t>
  </si>
  <si>
    <t>COUNTRY ACRES HOMEOWNERS ASSOCIATION</t>
  </si>
  <si>
    <t>MI0003880</t>
  </si>
  <si>
    <t>CRYSTAL FALLS TOWNSHIP - LIND</t>
  </si>
  <si>
    <t>MI0040006</t>
  </si>
  <si>
    <t>COUNTRY ACRES MOBILE HOME PARK</t>
  </si>
  <si>
    <t>MI0006630</t>
  </si>
  <si>
    <t>CRYSTAL FALLS TWP - TOWNLINE</t>
  </si>
  <si>
    <t>MI0004045</t>
  </si>
  <si>
    <t>COUNTRY EDEN  L.L.C.</t>
  </si>
  <si>
    <t>MI0003650</t>
  </si>
  <si>
    <t>KINGSLEY, VILLAGE OF</t>
  </si>
  <si>
    <t>MI0040591</t>
  </si>
  <si>
    <t>COUNTRY HILL PINES</t>
  </si>
  <si>
    <t>MI0040474</t>
  </si>
  <si>
    <t>SWEET LAKE MOBILE HOME PARK</t>
  </si>
  <si>
    <t>MI0040488</t>
  </si>
  <si>
    <t>COUNTRY HOLIDAY ESTATES</t>
  </si>
  <si>
    <t>MI0001648</t>
  </si>
  <si>
    <t>COUNTRY LIVING ADULT FOSTER CARE</t>
  </si>
  <si>
    <t>MI0001653</t>
  </si>
  <si>
    <t>COUNTRY LOG APTS</t>
  </si>
  <si>
    <t>MI0001840</t>
  </si>
  <si>
    <t>OSCEOLA TOWNSHIP</t>
  </si>
  <si>
    <t>MI0040656</t>
  </si>
  <si>
    <t>COUNTRY MANOR</t>
  </si>
  <si>
    <t>MI0006594</t>
  </si>
  <si>
    <t>THORNTON FARMS</t>
  </si>
  <si>
    <t>MI0040457</t>
  </si>
  <si>
    <t>MI0007135</t>
  </si>
  <si>
    <t>WIXOM, CITY OF</t>
  </si>
  <si>
    <t>MI0040193</t>
  </si>
  <si>
    <t>COUNTRY MANOR M H P</t>
  </si>
  <si>
    <t>MI0040004</t>
  </si>
  <si>
    <t>COUNTRY MEADOWS</t>
  </si>
  <si>
    <t>MI0040220</t>
  </si>
  <si>
    <t>COUNTRY PLACE</t>
  </si>
  <si>
    <t>MI0002370</t>
  </si>
  <si>
    <t>FORSYTH TOWNSHIP</t>
  </si>
  <si>
    <t>MI0001649</t>
  </si>
  <si>
    <t>COUNTRY PLACE SENIOR CARE CENTER</t>
  </si>
  <si>
    <t>MI0003340</t>
  </si>
  <si>
    <t>IMLAY CITY, CITY OF</t>
  </si>
  <si>
    <t>MI0001657</t>
  </si>
  <si>
    <t>COUNTRY VIEW MANOR CONDOS</t>
  </si>
  <si>
    <t>MI0040598</t>
  </si>
  <si>
    <t>COUNTRY VIEW MOBILE HOME COMMUNITY</t>
  </si>
  <si>
    <t>MI0040306</t>
  </si>
  <si>
    <t>COUNTRY VILLA ESTATES</t>
  </si>
  <si>
    <t>MI0003550</t>
  </si>
  <si>
    <t>KALEVA, VILLAGE OF</t>
  </si>
  <si>
    <t>MI0040418</t>
  </si>
  <si>
    <t>COUNTRY VILLAGE</t>
  </si>
  <si>
    <t>MI0001652</t>
  </si>
  <si>
    <t>COUNTRY VILLAGE APARTMENTS</t>
  </si>
  <si>
    <t>MI0003450</t>
  </si>
  <si>
    <t>ISHPEMING TWP - WEST</t>
  </si>
  <si>
    <t>MI0040070</t>
  </si>
  <si>
    <t>COUNTRYSIDE MOBILE COURT</t>
  </si>
  <si>
    <t>MI0040450</t>
  </si>
  <si>
    <t>COUNTRYSIDE VILLAGE</t>
  </si>
  <si>
    <t>MI0001970</t>
  </si>
  <si>
    <t>EAST JORDAN, CITY OF</t>
  </si>
  <si>
    <t>MI0040649</t>
  </si>
  <si>
    <t>COVENTRY WOODS MHC</t>
  </si>
  <si>
    <t>MI0001661</t>
  </si>
  <si>
    <t>COVERT TOWNSHIP</t>
  </si>
  <si>
    <t>MI0003270</t>
  </si>
  <si>
    <t>TORCH LAKE TOWNSHIP</t>
  </si>
  <si>
    <t>MI0040382</t>
  </si>
  <si>
    <t>CRANBERRY LAKE MHC</t>
  </si>
  <si>
    <t>MI0002274</t>
  </si>
  <si>
    <t>CREEKSIDE AT FENTON HEIGHTS</t>
  </si>
  <si>
    <t>MI0004360</t>
  </si>
  <si>
    <t>MIDDLEVILLE</t>
  </si>
  <si>
    <t>MI0040119</t>
  </si>
  <si>
    <t>CREEKSIDE MEADOWS OF ST. JOHNS</t>
  </si>
  <si>
    <t>MI0040183</t>
  </si>
  <si>
    <t>CREEKSIDE MHC</t>
  </si>
  <si>
    <t>MI0004850</t>
  </si>
  <si>
    <t>NORTON SHORES</t>
  </si>
  <si>
    <t>MI0040425</t>
  </si>
  <si>
    <t>CRICKLEWOOD COURT</t>
  </si>
  <si>
    <t>MI0040417</t>
  </si>
  <si>
    <t>CROCKERY MOBILE HOME PARK</t>
  </si>
  <si>
    <t>MI0001666</t>
  </si>
  <si>
    <t>CROOKED RIVER APARTMENTS</t>
  </si>
  <si>
    <t>MI0002300</t>
  </si>
  <si>
    <t>FLAT ROCK</t>
  </si>
  <si>
    <t>MI0001067</t>
  </si>
  <si>
    <t>CROSSROADS FOR YOUTH</t>
  </si>
  <si>
    <t>MI0040216</t>
  </si>
  <si>
    <t>MAPLE LEAF VILLAGE</t>
  </si>
  <si>
    <t>MI0001690</t>
  </si>
  <si>
    <t>CROSWELL, CITY OF</t>
  </si>
  <si>
    <t>MI0040357</t>
  </si>
  <si>
    <t>CRYSTAL DOWNS MOBILE VILLAGE</t>
  </si>
  <si>
    <t>MI0001700</t>
  </si>
  <si>
    <t>CRYSTAL FALLS</t>
  </si>
  <si>
    <t>MI0040566</t>
  </si>
  <si>
    <t>GLENWOOD ESTATES</t>
  </si>
  <si>
    <t>MI0001715</t>
  </si>
  <si>
    <t>CRYSTAL HIGHLANDS SUBDIVISION</t>
  </si>
  <si>
    <t>MI0005590</t>
  </si>
  <si>
    <t>QUINNESEC</t>
  </si>
  <si>
    <t>MI0001716</t>
  </si>
  <si>
    <t>CRYSTAL MOUNTAIN RESORT &amp; SPA</t>
  </si>
  <si>
    <t>MI0001694</t>
  </si>
  <si>
    <t>CRYSTAL RIDGE CONDOMINIUM ASSOCIATION</t>
  </si>
  <si>
    <t>MI0001880</t>
  </si>
  <si>
    <t>DUNDEE</t>
  </si>
  <si>
    <t>MI0061700</t>
  </si>
  <si>
    <t>CURRY HOUSE ASSISTED LIVING CENTER</t>
  </si>
  <si>
    <t>MI0006590</t>
  </si>
  <si>
    <t>THOMPSONVILLE, VILLAGE OF</t>
  </si>
  <si>
    <t>MI0001718</t>
  </si>
  <si>
    <t>DANSVILLE, VILLAGE OF</t>
  </si>
  <si>
    <t>MI0001720</t>
  </si>
  <si>
    <t>DAVISON, CITY OF</t>
  </si>
  <si>
    <t>MI0003660</t>
  </si>
  <si>
    <t>KINGSTON, VILLAGE OF</t>
  </si>
  <si>
    <t>MI0002400</t>
  </si>
  <si>
    <t>FOWLERVILLE, VILLAGE OF</t>
  </si>
  <si>
    <t>MI0006650</t>
  </si>
  <si>
    <t>TRENTON</t>
  </si>
  <si>
    <t>MI0001760</t>
  </si>
  <si>
    <t>DECKERVILLE, VILLAGE OF</t>
  </si>
  <si>
    <t>MI0001765</t>
  </si>
  <si>
    <t>DEEPWATER POINTE ASSOCIATION</t>
  </si>
  <si>
    <t>MI0002460</t>
  </si>
  <si>
    <t>FRASER, CITY OF</t>
  </si>
  <si>
    <t>MI0001774</t>
  </si>
  <si>
    <t>DEER PARK CONDOMINIUMS</t>
  </si>
  <si>
    <t>MI0003030</t>
  </si>
  <si>
    <t>HARRISON, CITY OF</t>
  </si>
  <si>
    <t>MI0040644</t>
  </si>
  <si>
    <t>DEERFIELD PINES MOBILE HOME PARK</t>
  </si>
  <si>
    <t>MI0001768</t>
  </si>
  <si>
    <t>DEERFIELD VILLA</t>
  </si>
  <si>
    <t>MI0006920</t>
  </si>
  <si>
    <t>WATERSMEET TOWNSHIP</t>
  </si>
  <si>
    <t>MI0001795</t>
  </si>
  <si>
    <t>DETOUR</t>
  </si>
  <si>
    <t>MI0006500</t>
  </si>
  <si>
    <t>SUTTONS BAY, VILLAGE OF</t>
  </si>
  <si>
    <t>MI0001798</t>
  </si>
  <si>
    <t>DETROIT METROPOLITAN WAYNE CO. AIRPORT</t>
  </si>
  <si>
    <t>MI0063477</t>
  </si>
  <si>
    <t>DIMONDALE HEALTH CARE CENTER</t>
  </si>
  <si>
    <t>MI0040008</t>
  </si>
  <si>
    <t>DOGWOOD MANOR MOBILE HOME PARK</t>
  </si>
  <si>
    <t>MI0001845</t>
  </si>
  <si>
    <t>DORR-LEIGHTON</t>
  </si>
  <si>
    <t>MI0001865</t>
  </si>
  <si>
    <t>DRUMMOND ISLAND APARTMENTS</t>
  </si>
  <si>
    <t>MI0040563</t>
  </si>
  <si>
    <t>DUMONT CREEK ESTATES</t>
  </si>
  <si>
    <t>MI0006026</t>
  </si>
  <si>
    <t>PORT SHELDON TOWNSHIP</t>
  </si>
  <si>
    <t>MI0040045</t>
  </si>
  <si>
    <t>DUNLOPS ORCHARD PARK</t>
  </si>
  <si>
    <t>MI0001905</t>
  </si>
  <si>
    <t>DUNRENTIN HEIGHTS SUBDIVISION</t>
  </si>
  <si>
    <t>MI0040116</t>
  </si>
  <si>
    <t>DUTCH HILLS</t>
  </si>
  <si>
    <t>MI0001915</t>
  </si>
  <si>
    <t>DUVERNAY PARK APARTMENTS</t>
  </si>
  <si>
    <t>MI0007160</t>
  </si>
  <si>
    <t>WOODBINE SUBDIVISION</t>
  </si>
  <si>
    <t>MI0001920</t>
  </si>
  <si>
    <t>EAGLE HARBOR TOWNSHIP</t>
  </si>
  <si>
    <t>MI0001925</t>
  </si>
  <si>
    <t>EAGLE LAKE CONDOMINIUMS</t>
  </si>
  <si>
    <t>MI0000325</t>
  </si>
  <si>
    <t>ROCHESTER HILLS</t>
  </si>
  <si>
    <t>MI0040103</t>
  </si>
  <si>
    <t>EAGLE LAKE ESTATES MHP</t>
  </si>
  <si>
    <t>MI0005280</t>
  </si>
  <si>
    <t>PERRY, CITY OF</t>
  </si>
  <si>
    <t>MI0007285</t>
  </si>
  <si>
    <t>EAGLE POINTE CONDOMINIUMS</t>
  </si>
  <si>
    <t>MI0001932</t>
  </si>
  <si>
    <t>EAGLE VILLAGE, INC.</t>
  </si>
  <si>
    <t>MI0005930</t>
  </si>
  <si>
    <t>SARANAC</t>
  </si>
  <si>
    <t>MI0040615</t>
  </si>
  <si>
    <t>EAGLES LANDING ESTATES</t>
  </si>
  <si>
    <t>MI0001935</t>
  </si>
  <si>
    <t>EAST BAY CHARTER TOWNSHIP</t>
  </si>
  <si>
    <t>MI0040607</t>
  </si>
  <si>
    <t>EAST BAY MOBILE HOME PARK</t>
  </si>
  <si>
    <t>MI0002010</t>
  </si>
  <si>
    <t>EAST TAWAS, CITY OF</t>
  </si>
  <si>
    <t>MI0000048</t>
  </si>
  <si>
    <t>RICHLYN MANOR</t>
  </si>
  <si>
    <t>MI0005020</t>
  </si>
  <si>
    <t>ONSTED</t>
  </si>
  <si>
    <t>MI0002025</t>
  </si>
  <si>
    <t>EATON GREEN ESTATES SUBDIVISION</t>
  </si>
  <si>
    <t>MI0002030</t>
  </si>
  <si>
    <t>EAU CLAIRE</t>
  </si>
  <si>
    <t>MI0000090</t>
  </si>
  <si>
    <t>FORD FORESTRY CENTER</t>
  </si>
  <si>
    <t>MI0002055</t>
  </si>
  <si>
    <t>EDGE 72</t>
  </si>
  <si>
    <t>MI0040359</t>
  </si>
  <si>
    <t>EDGEWOOD MOBILE HOME PARK</t>
  </si>
  <si>
    <t>MI0002077</t>
  </si>
  <si>
    <t>EDWARDSBURG</t>
  </si>
  <si>
    <t>MI0040600</t>
  </si>
  <si>
    <t>EGELCRAFT MOBILE HOME PARK</t>
  </si>
  <si>
    <t>MI0002079</t>
  </si>
  <si>
    <t>EL RANCHO ALANSON</t>
  </si>
  <si>
    <t>MI0002080</t>
  </si>
  <si>
    <t>ELBERTA, VILLAGE OF</t>
  </si>
  <si>
    <t>MI0004890</t>
  </si>
  <si>
    <t>SOUTH SHORE WATER SYSTEM</t>
  </si>
  <si>
    <t>MI0002090</t>
  </si>
  <si>
    <t>ELK RAPIDS, VILLAGE OF</t>
  </si>
  <si>
    <t>MI0002100</t>
  </si>
  <si>
    <t>ELKTON, VILLAGE OF</t>
  </si>
  <si>
    <t>MI0002110</t>
  </si>
  <si>
    <t>ELLSWORTH, VILLAGE OF</t>
  </si>
  <si>
    <t>MI0000200</t>
  </si>
  <si>
    <t>HEMATITE TOWNSHIP</t>
  </si>
  <si>
    <t>MI0002115</t>
  </si>
  <si>
    <t>ELMWOOD TOWNSHIP</t>
  </si>
  <si>
    <t>MI0006625</t>
  </si>
  <si>
    <t>ELMWOOD TWP - TIMBERLEE</t>
  </si>
  <si>
    <t>MI0002120</t>
  </si>
  <si>
    <t>ELSIE, VILLAGE OF</t>
  </si>
  <si>
    <t>MI0001820</t>
  </si>
  <si>
    <t>ELY TOWNSHIP-DIORITE</t>
  </si>
  <si>
    <t>MI0002860</t>
  </si>
  <si>
    <t>ELY TOWNSHIP-GREENWOOD</t>
  </si>
  <si>
    <t>MI0002124</t>
  </si>
  <si>
    <t>EMERY PINES</t>
  </si>
  <si>
    <t>MI0002125</t>
  </si>
  <si>
    <t>EMMETT TOWNSHIP</t>
  </si>
  <si>
    <t>MI0002130</t>
  </si>
  <si>
    <t>EMPIRE, VILLAGE OF</t>
  </si>
  <si>
    <t>MI0002180</t>
  </si>
  <si>
    <t>ESSEXVILLE, CITY OF</t>
  </si>
  <si>
    <t>MI0005130</t>
  </si>
  <si>
    <t>OXFORD, VILLAGE OF</t>
  </si>
  <si>
    <t>MI0040484</t>
  </si>
  <si>
    <t>EVERGREEN ESTATES</t>
  </si>
  <si>
    <t>MI0040206</t>
  </si>
  <si>
    <t>EVERGREEN MOBILE HOME COMMUNITY</t>
  </si>
  <si>
    <t>MI0040250</t>
  </si>
  <si>
    <t>EVERGREEN PARK</t>
  </si>
  <si>
    <t>MI0040454</t>
  </si>
  <si>
    <t>EVERGREEN PLEASANT VALLEY TRAILER PARK</t>
  </si>
  <si>
    <t>MI0002212</t>
  </si>
  <si>
    <t>FAIRFIELD TOWNSHIP</t>
  </si>
  <si>
    <t>MI0040316</t>
  </si>
  <si>
    <t>FAIRLANE ESTATES</t>
  </si>
  <si>
    <t>MI0040318</t>
  </si>
  <si>
    <t>FAIRLAWN MEADOWS</t>
  </si>
  <si>
    <t>MI0002215</t>
  </si>
  <si>
    <t>FAIRWAY LAKE CONDOMINIUMS</t>
  </si>
  <si>
    <t>MI0006545</t>
  </si>
  <si>
    <t>TAYLOR</t>
  </si>
  <si>
    <t>MI0002240</t>
  </si>
  <si>
    <t>FARMINGTON HILLS, CITY OF</t>
  </si>
  <si>
    <t>MI0002230</t>
  </si>
  <si>
    <t>FARMINGTON, CITY OF</t>
  </si>
  <si>
    <t>MI0005710</t>
  </si>
  <si>
    <t>RIVERVIEW</t>
  </si>
  <si>
    <t>MI0002250</t>
  </si>
  <si>
    <t>FARWELL, VILLAGE OF</t>
  </si>
  <si>
    <t>MI0002260</t>
  </si>
  <si>
    <t>FENNVILLE</t>
  </si>
  <si>
    <t>MI0002273</t>
  </si>
  <si>
    <t>FENTON HARBOR CONDOMINIUMS</t>
  </si>
  <si>
    <t>MI0040144</t>
  </si>
  <si>
    <t>FENTON LAKEFRONT COMMUNITY LLC</t>
  </si>
  <si>
    <t>MI0005980</t>
  </si>
  <si>
    <t>SCOTTVILLE, CITY OF</t>
  </si>
  <si>
    <t>MI0002285</t>
  </si>
  <si>
    <t>FERRYSBURG</t>
  </si>
  <si>
    <t>MI0004240</t>
  </si>
  <si>
    <t>MENDON</t>
  </si>
  <si>
    <t>MI0002287</t>
  </si>
  <si>
    <t>FIFE LAKE TOWNHOUSES</t>
  </si>
  <si>
    <t>MI0002290</t>
  </si>
  <si>
    <t>FILER CHARTER TOWNSHIP</t>
  </si>
  <si>
    <t>MI0002291</t>
  </si>
  <si>
    <t>FILLMORE TOWNSHIP</t>
  </si>
  <si>
    <t>MI0040302</t>
  </si>
  <si>
    <t>FIRST POINT MOBILE COURT</t>
  </si>
  <si>
    <t>MI0005310</t>
  </si>
  <si>
    <t>PEWAMO</t>
  </si>
  <si>
    <t>MI0002340</t>
  </si>
  <si>
    <t>FLUSHING, CITY OF</t>
  </si>
  <si>
    <t>MI0002347</t>
  </si>
  <si>
    <t>FONDA LAKE WATER AUTHORITY</t>
  </si>
  <si>
    <t>MI0002350</t>
  </si>
  <si>
    <t>FORD RIVER TOWNSHIP</t>
  </si>
  <si>
    <t>MI0002356</t>
  </si>
  <si>
    <t>FORESTER TOWNSHIP</t>
  </si>
  <si>
    <t>MI0002360</t>
  </si>
  <si>
    <t>FORESTVILLE VILLAGE OF</t>
  </si>
  <si>
    <t>MI0002385</t>
  </si>
  <si>
    <t>FORT GRATIOT TOWNSHIP</t>
  </si>
  <si>
    <t>MI0002390</t>
  </si>
  <si>
    <t>FOWLER, VILLAGE OF</t>
  </si>
  <si>
    <t>MI0002403</t>
  </si>
  <si>
    <t>FOXFIELD APARTMENTS</t>
  </si>
  <si>
    <t>MI0002410</t>
  </si>
  <si>
    <t>FRANKENLUST TOWNSHIP</t>
  </si>
  <si>
    <t>MI0002425</t>
  </si>
  <si>
    <t>FRANKENMUTH TOWNSHIP</t>
  </si>
  <si>
    <t>MI0002420</t>
  </si>
  <si>
    <t>FRANKENMUTH, CITY OF</t>
  </si>
  <si>
    <t>MI0000550</t>
  </si>
  <si>
    <t>IRON RIVER TOWNSHIP-BEECHWOOD</t>
  </si>
  <si>
    <t>MI0002440</t>
  </si>
  <si>
    <t>FRANKLIN KNOLLS SUBDIVISION</t>
  </si>
  <si>
    <t>MI0000575</t>
  </si>
  <si>
    <t>WHISPERING PINES SENIOR LIVING</t>
  </si>
  <si>
    <t>MI0005680</t>
  </si>
  <si>
    <t>FRANKLIN TOWNSHIP</t>
  </si>
  <si>
    <t>MI0005585</t>
  </si>
  <si>
    <t>FRANKLIN-QUINCY WATER AUTHORITY</t>
  </si>
  <si>
    <t>MI0002465</t>
  </si>
  <si>
    <t>FRASER TOWNSHIP</t>
  </si>
  <si>
    <t>MI0040438</t>
  </si>
  <si>
    <t>FREELAND MOBILE HOME PARK</t>
  </si>
  <si>
    <t>MI0004640</t>
  </si>
  <si>
    <t>TILDEN TOWNSHIP</t>
  </si>
  <si>
    <t>MI0002480</t>
  </si>
  <si>
    <t>FREEPORT</t>
  </si>
  <si>
    <t>MI0002490</t>
  </si>
  <si>
    <t>FREMONT</t>
  </si>
  <si>
    <t>MI0003750</t>
  </si>
  <si>
    <t>LAKEVIEW</t>
  </si>
  <si>
    <t>MI0002500</t>
  </si>
  <si>
    <t>FRENCHTOWN TOWNSHIP</t>
  </si>
  <si>
    <t>MI0002507</t>
  </si>
  <si>
    <t>FRUITPORT TOWNSHIP</t>
  </si>
  <si>
    <t>MI0005840</t>
  </si>
  <si>
    <t>ROYAL OAK TOWNSHIP</t>
  </si>
  <si>
    <t>MI0002510</t>
  </si>
  <si>
    <t>GAASTRA</t>
  </si>
  <si>
    <t>MI0002520</t>
  </si>
  <si>
    <t>GAGETOWN, VILLAGE OF</t>
  </si>
  <si>
    <t>MI0002530</t>
  </si>
  <si>
    <t>GALESBURG</t>
  </si>
  <si>
    <t>MI0002540</t>
  </si>
  <si>
    <t>GARDEN</t>
  </si>
  <si>
    <t>MI0006200</t>
  </si>
  <si>
    <t>SPARTA</t>
  </si>
  <si>
    <t>MI0002565</t>
  </si>
  <si>
    <t>GARFIELD CHARTER TOWNSHIP</t>
  </si>
  <si>
    <t>MI0003350</t>
  </si>
  <si>
    <t>STAMBAUGH TOWNSHIP-INDIAN LAKE</t>
  </si>
  <si>
    <t>MI0040174</t>
  </si>
  <si>
    <t>GARFIELD OAKS</t>
  </si>
  <si>
    <t>MI0002568</t>
  </si>
  <si>
    <t>GARLAND RESORT</t>
  </si>
  <si>
    <t>MI0000796</t>
  </si>
  <si>
    <t>GENERAL WHITE APARTMENTS</t>
  </si>
  <si>
    <t>MI0002615</t>
  </si>
  <si>
    <t>GENESEE COUNTY WATER SYSTEM</t>
  </si>
  <si>
    <t>MI0002617</t>
  </si>
  <si>
    <t>GENESEE TOWNSHIP</t>
  </si>
  <si>
    <t>MI0002620</t>
  </si>
  <si>
    <t>GEORGETOWN TOWNSHIP</t>
  </si>
  <si>
    <t>MI0002625</t>
  </si>
  <si>
    <t>GERMFASK TOWNSHIP</t>
  </si>
  <si>
    <t>MI0002630</t>
  </si>
  <si>
    <t>GIBRALTAR</t>
  </si>
  <si>
    <t>MI0003685</t>
  </si>
  <si>
    <t>L'ARBRE CROCHE CLUB</t>
  </si>
  <si>
    <t>MI0062653</t>
  </si>
  <si>
    <t>GLADWIN NURSING AND REHABILITATION COMMU</t>
  </si>
  <si>
    <t>MI0002650</t>
  </si>
  <si>
    <t>GLADWIN, CITY OF</t>
  </si>
  <si>
    <t>MI0002654</t>
  </si>
  <si>
    <t>GLEN DEVON CONDOMINIUMS</t>
  </si>
  <si>
    <t>MI0002656</t>
  </si>
  <si>
    <t>GLEN MEADOWS CONDOMINIUMS</t>
  </si>
  <si>
    <t>MI0002657</t>
  </si>
  <si>
    <t>GLEN OAKS COMMUNITY COLLEGE</t>
  </si>
  <si>
    <t>MI0002655</t>
  </si>
  <si>
    <t>GLENN HAVEN SHORES</t>
  </si>
  <si>
    <t>MI0002659</t>
  </si>
  <si>
    <t>GLENNWOODS SUBDIVISION</t>
  </si>
  <si>
    <t>MI0000838</t>
  </si>
  <si>
    <t>RIDGE VALLEY OF MILFORD</t>
  </si>
  <si>
    <t>MI0002820</t>
  </si>
  <si>
    <t>GRANDVILLE</t>
  </si>
  <si>
    <t>MI0002680</t>
  </si>
  <si>
    <t>GOBLES</t>
  </si>
  <si>
    <t>MI0002940</t>
  </si>
  <si>
    <t>STAMBAUGH TWP - HAGERMAN LAKE</t>
  </si>
  <si>
    <t>MI0002685</t>
  </si>
  <si>
    <t>GOGEBIC RANGE WATER AUTH</t>
  </si>
  <si>
    <t>MI0040476</t>
  </si>
  <si>
    <t>GOLDEN POND ESTATES</t>
  </si>
  <si>
    <t>MI0002730</t>
  </si>
  <si>
    <t>GRAND BEACH</t>
  </si>
  <si>
    <t>MI0002740</t>
  </si>
  <si>
    <t>GRAND BLANC, CITY OF</t>
  </si>
  <si>
    <t>MI0000880</t>
  </si>
  <si>
    <t>SUPERIOR TOWNSHIP</t>
  </si>
  <si>
    <t>MI0040419</t>
  </si>
  <si>
    <t>GRAND COUNTRY</t>
  </si>
  <si>
    <t>MI0002770</t>
  </si>
  <si>
    <t>GRAND LEDGE, CITY OF</t>
  </si>
  <si>
    <t>MI0002785</t>
  </si>
  <si>
    <t>GRAND POINTE SUBDIVISION</t>
  </si>
  <si>
    <t>MI0003940</t>
  </si>
  <si>
    <t>LOCH ALPINE SANITARY AUTHORITY</t>
  </si>
  <si>
    <t>MI0001002</t>
  </si>
  <si>
    <t>OAK POINTE</t>
  </si>
  <si>
    <t>MI0002805</t>
  </si>
  <si>
    <t>GRAND TRAVERSE CONDOMINIUMS</t>
  </si>
  <si>
    <t>MI0002809</t>
  </si>
  <si>
    <t>GRAND VALLEY ESTATES</t>
  </si>
  <si>
    <t>MI0040069</t>
  </si>
  <si>
    <t>GRAND VILLAGE MOBILE HOME PARK</t>
  </si>
  <si>
    <t>MI0002823</t>
  </si>
  <si>
    <t>GRANT</t>
  </si>
  <si>
    <t>MI0001630</t>
  </si>
  <si>
    <t>GRANT TOWNSHIP - COPPER HARBOR</t>
  </si>
  <si>
    <t>MI0002839</t>
  </si>
  <si>
    <t>GREAT LAKES ADVENTIST ACADEMY</t>
  </si>
  <si>
    <t>MI0040273</t>
  </si>
  <si>
    <t>GREEN ACRES MOBILE HOME PARK</t>
  </si>
  <si>
    <t>MI0002843</t>
  </si>
  <si>
    <t>GREEN LAKE TOWNSHIP</t>
  </si>
  <si>
    <t>MI0001543</t>
  </si>
  <si>
    <t>GREEN OAK TWP - CENTENNIAL FARMS</t>
  </si>
  <si>
    <t>MI0040352</t>
  </si>
  <si>
    <t>GREENBRIER ESTATES</t>
  </si>
  <si>
    <t>MI0001073</t>
  </si>
  <si>
    <t>SHAWONO CENTER - DHS</t>
  </si>
  <si>
    <t>MI0002837</t>
  </si>
  <si>
    <t>GREENFIELD ESTATES</t>
  </si>
  <si>
    <t>MI0002846</t>
  </si>
  <si>
    <t>GREENFIELD POINTE SUBDIVISION</t>
  </si>
  <si>
    <t>MI0040405</t>
  </si>
  <si>
    <t>GREENLAWN MOBILE HOME COURT</t>
  </si>
  <si>
    <t>MI0002847</t>
  </si>
  <si>
    <t>GREENS LAKE APARTMENTS</t>
  </si>
  <si>
    <t>MI0002845</t>
  </si>
  <si>
    <t>GREGG APARTMENTS</t>
  </si>
  <si>
    <t>MI0002870</t>
  </si>
  <si>
    <t>GROSSE ILE TOWNSHIP</t>
  </si>
  <si>
    <t>MI0040384</t>
  </si>
  <si>
    <t>GROVELAND MANOR</t>
  </si>
  <si>
    <t>MI0040046</t>
  </si>
  <si>
    <t>GUERNSEY LAKE MOBILE HOME COMMUNITY</t>
  </si>
  <si>
    <t>MI0040044</t>
  </si>
  <si>
    <t>GUN LAKE MOBILE HOME COMMUNITY</t>
  </si>
  <si>
    <t>MI0002926</t>
  </si>
  <si>
    <t>GUN PLAIN TOWNSHIP</t>
  </si>
  <si>
    <t>MI0040029</t>
  </si>
  <si>
    <t>GUN RIVER ESTATES WEST</t>
  </si>
  <si>
    <t>MI0040011</t>
  </si>
  <si>
    <t>GUN RIVER MOBILE ESTATES</t>
  </si>
  <si>
    <t>MI0040138</t>
  </si>
  <si>
    <t>GUNTHER MOBILE HOME COURT INC</t>
  </si>
  <si>
    <t>MI0062942</t>
  </si>
  <si>
    <t>HALE CREEK MANOR</t>
  </si>
  <si>
    <t>MI0040317</t>
  </si>
  <si>
    <t>HAMBURG HILLS ESTATES</t>
  </si>
  <si>
    <t>MI0002944</t>
  </si>
  <si>
    <t>HAMLET VILLAGE CONDOMINIUMS ASSOCIATION</t>
  </si>
  <si>
    <t>MI0002945</t>
  </si>
  <si>
    <t>HAMLET WEST PROPERTY OWNERS ASSOC</t>
  </si>
  <si>
    <t>MI0040194</t>
  </si>
  <si>
    <t>HAMLIN MOBILE HOME PARK</t>
  </si>
  <si>
    <t>MI0002960</t>
  </si>
  <si>
    <t>HAMPTON TOWNSHIP</t>
  </si>
  <si>
    <t>MI0002982</t>
  </si>
  <si>
    <t>HANDY TOWNSHIP - RED CEDARS CROSSING</t>
  </si>
  <si>
    <t>MI0003001</t>
  </si>
  <si>
    <t>HARBOR COVE APARTMENTS</t>
  </si>
  <si>
    <t>MI0003005</t>
  </si>
  <si>
    <t>HARBOR HILLS SUBDIVISION ASSOCIATION</t>
  </si>
  <si>
    <t>MI0003010</t>
  </si>
  <si>
    <t>HARBOR SPRINGS, CITY OF</t>
  </si>
  <si>
    <t>MI0040369</t>
  </si>
  <si>
    <t>HARDY PARK</t>
  </si>
  <si>
    <t>MI0003018</t>
  </si>
  <si>
    <t>HARING CHARTER TOWNSHIP</t>
  </si>
  <si>
    <t>MI0003040</t>
  </si>
  <si>
    <t>HARRISON TOWNSHIP</t>
  </si>
  <si>
    <t>MI0003050</t>
  </si>
  <si>
    <t>HARRISVILLE, CITY OF</t>
  </si>
  <si>
    <t>MI0003073</t>
  </si>
  <si>
    <t>HARTLAND HILLS CONDOMINIUMS</t>
  </si>
  <si>
    <t>MI0001545</t>
  </si>
  <si>
    <t>MAIN STREET APARTMENTS</t>
  </si>
  <si>
    <t>MI0040654</t>
  </si>
  <si>
    <t>HARTLAND MEADOWS</t>
  </si>
  <si>
    <t>MI0003075</t>
  </si>
  <si>
    <t>HARTLAND TOWNSHIP</t>
  </si>
  <si>
    <t>MI0040620</t>
  </si>
  <si>
    <t>HARTWICK PINES ESTATES</t>
  </si>
  <si>
    <t>MI0003080</t>
  </si>
  <si>
    <t>HARVEST HILLS SUBDIVISION ASSO</t>
  </si>
  <si>
    <t>MI0040343</t>
  </si>
  <si>
    <t>HAVEN VIEW MOBILE COURT</t>
  </si>
  <si>
    <t>MI0040680</t>
  </si>
  <si>
    <t>HEARTHSIDE GROVE MOTOR COACH RESORT</t>
  </si>
  <si>
    <t>MI0003115</t>
  </si>
  <si>
    <t>HEMINGWAY POINTE CLUB OWNERS ASSOCIATION</t>
  </si>
  <si>
    <t>MI0040106</t>
  </si>
  <si>
    <t>LAKE MICHIGAN HEIGHTS</t>
  </si>
  <si>
    <t>MI0003110</t>
  </si>
  <si>
    <t>HEMLOCK/RICHLAND TOWNSHIP</t>
  </si>
  <si>
    <t>MI0003435</t>
  </si>
  <si>
    <t>LAKE ISABELLA WATER DIST. #1</t>
  </si>
  <si>
    <t>MI0003118</t>
  </si>
  <si>
    <t>HERITAGE DRIVE APARTMENTS</t>
  </si>
  <si>
    <t>MI0040333</t>
  </si>
  <si>
    <t>HERITAGE HILLS MOBILE HOME VILLAGE</t>
  </si>
  <si>
    <t>MI0003120</t>
  </si>
  <si>
    <t>HERMANSVILLE HOUSING COMM.</t>
  </si>
  <si>
    <t>MI0040587</t>
  </si>
  <si>
    <t>HESPERIA MHP LLC</t>
  </si>
  <si>
    <t>MI0040084</t>
  </si>
  <si>
    <t>HICKORY HILLS</t>
  </si>
  <si>
    <t>MI0040469</t>
  </si>
  <si>
    <t>HICKORY LANE MOBILE HOME PARK</t>
  </si>
  <si>
    <t>MI0040682</t>
  </si>
  <si>
    <t>HIDDEN CREEK ESTATES</t>
  </si>
  <si>
    <t>MI0003132</t>
  </si>
  <si>
    <t>HIDDEN HAMLET ASSOCIATION</t>
  </si>
  <si>
    <t>MI0040386</t>
  </si>
  <si>
    <t>HIDDEN LAKE ESTATES</t>
  </si>
  <si>
    <t>MI0003137</t>
  </si>
  <si>
    <t>HIDDEN LAKES OF GREEN OAKS</t>
  </si>
  <si>
    <t>MI0005819</t>
  </si>
  <si>
    <t>HIDDEN SHORES WEST</t>
  </si>
  <si>
    <t>MI0040208</t>
  </si>
  <si>
    <t>HIDDEN VALLEY</t>
  </si>
  <si>
    <t>MI0003134</t>
  </si>
  <si>
    <t>HIGHFIELDS YOUTH CAMP</t>
  </si>
  <si>
    <t>MI0001658</t>
  </si>
  <si>
    <t>WILLOWS ON TWIN PONDS</t>
  </si>
  <si>
    <t>MI0040387</t>
  </si>
  <si>
    <t>HIGHLAND GREENS ESTATES</t>
  </si>
  <si>
    <t>MI0003138</t>
  </si>
  <si>
    <t>HIGHLAND HAVEN/WOODSIDE APTS</t>
  </si>
  <si>
    <t>MI0040388</t>
  </si>
  <si>
    <t>HIGHLAND HILLS OF HIGHLAND MHC</t>
  </si>
  <si>
    <t>MI0004989</t>
  </si>
  <si>
    <t>OLIVE/BLENDON TWPS</t>
  </si>
  <si>
    <t>MI0003139</t>
  </si>
  <si>
    <t>HIGHLAND MEADOWVIEW APARTMENTS</t>
  </si>
  <si>
    <t>MI0001663</t>
  </si>
  <si>
    <t>LANDINGS AT CRANES COVE</t>
  </si>
  <si>
    <t>MI0003312</t>
  </si>
  <si>
    <t>HIGHLAND TOWNSHIP</t>
  </si>
  <si>
    <t>MI0005750</t>
  </si>
  <si>
    <t>ROCKWOOD</t>
  </si>
  <si>
    <t>MI0000813</t>
  </si>
  <si>
    <t>HIGHLANDS AT HARBOR SPRINGS</t>
  </si>
  <si>
    <t>MI0040231</t>
  </si>
  <si>
    <t>HILLANLAKE VILLAGE</t>
  </si>
  <si>
    <t>MI0003160</t>
  </si>
  <si>
    <t>HILLMAN, VILLAGE OF</t>
  </si>
  <si>
    <t>MI0001669</t>
  </si>
  <si>
    <t>LAKESIDE APARTMENTS</t>
  </si>
  <si>
    <t>MI0040057</t>
  </si>
  <si>
    <t>HILLS HAVEN MOBILE HOME PARK</t>
  </si>
  <si>
    <t>MI0003165</t>
  </si>
  <si>
    <t>HILLS OF WALLOON ASSOCIATION</t>
  </si>
  <si>
    <t>MI0040180</t>
  </si>
  <si>
    <t>HILLSIDE ACRES</t>
  </si>
  <si>
    <t>MI0040122</t>
  </si>
  <si>
    <t>HI-WAY MOBILE HAVEN</t>
  </si>
  <si>
    <t>MI0040344</t>
  </si>
  <si>
    <t>HOLIDAY TERRACE</t>
  </si>
  <si>
    <t>MI0040335</t>
  </si>
  <si>
    <t>HOLIDAY VILLAGE MOBILE HOME PARK</t>
  </si>
  <si>
    <t>MI0003195</t>
  </si>
  <si>
    <t>HOLLAND TOWNSHIP CONSOLIDATED</t>
  </si>
  <si>
    <t>MI0040665</t>
  </si>
  <si>
    <t>HOLLY HILLS MHC</t>
  </si>
  <si>
    <t>MI0003215</t>
  </si>
  <si>
    <t>HOLTON COTTAGES</t>
  </si>
  <si>
    <t>MI0040014</t>
  </si>
  <si>
    <t>HOMECREST VILLA MOBILE HOME PARK</t>
  </si>
  <si>
    <t>MI0003223</t>
  </si>
  <si>
    <t>HOMER TOWNSHIP</t>
  </si>
  <si>
    <t>MI0004390</t>
  </si>
  <si>
    <t>MILFORD, VILLAGE OF</t>
  </si>
  <si>
    <t>MI0003225</t>
  </si>
  <si>
    <t>HOMESTEAD PINES HOMEOWNERS' ASSOCIATION</t>
  </si>
  <si>
    <t>MI0007103</t>
  </si>
  <si>
    <t>HOMESTEAD/CRYSTAL RIVER WATER CO</t>
  </si>
  <si>
    <t>MI0003228</t>
  </si>
  <si>
    <t>HOPE NETWORK - WEST LAKE- FACILITY</t>
  </si>
  <si>
    <t>MI0006773</t>
  </si>
  <si>
    <t>HORSELL MANOR</t>
  </si>
  <si>
    <t>MI0003229</t>
  </si>
  <si>
    <t>HORTON BAY CLUB</t>
  </si>
  <si>
    <t>MI0003840</t>
  </si>
  <si>
    <t>LESLIE, CITY OF</t>
  </si>
  <si>
    <t>MI0003230</t>
  </si>
  <si>
    <t>HOUGHTON</t>
  </si>
  <si>
    <t>MI0003235</t>
  </si>
  <si>
    <t>HOUGHTON CO MEMORIAL AIRPORT</t>
  </si>
  <si>
    <t>MI0003237</t>
  </si>
  <si>
    <t>HOUGHTON HEIGHTS MANOR</t>
  </si>
  <si>
    <t>MI0003238</t>
  </si>
  <si>
    <t>HOUGHTON LAKE TIMBER APTS.</t>
  </si>
  <si>
    <t>MI0001930</t>
  </si>
  <si>
    <t>HOUGHTON TOWNSHIP</t>
  </si>
  <si>
    <t>MI0003290</t>
  </si>
  <si>
    <t>HUDSONVILLE</t>
  </si>
  <si>
    <t>MI0040342</t>
  </si>
  <si>
    <t>HUNTERS CREEK ESTATES</t>
  </si>
  <si>
    <t>MI0040660</t>
  </si>
  <si>
    <t>HUNTERS GLEN</t>
  </si>
  <si>
    <t>MI0003310</t>
  </si>
  <si>
    <t>HUNTINGTON WOODS</t>
  </si>
  <si>
    <t>MI0005033</t>
  </si>
  <si>
    <t>HUNTMORE ESTATES</t>
  </si>
  <si>
    <t>MI0040448</t>
  </si>
  <si>
    <t>HURON BAY RESORT</t>
  </si>
  <si>
    <t>MI0003315</t>
  </si>
  <si>
    <t>HURON DUNES SUBDIVISION</t>
  </si>
  <si>
    <t>MI0003323</t>
  </si>
  <si>
    <t>HURON TOWNSHIP</t>
  </si>
  <si>
    <t>MI0040520</t>
  </si>
  <si>
    <t>HWY M553 MOBILE ESTATES</t>
  </si>
  <si>
    <t>MI0040406</t>
  </si>
  <si>
    <t>HYLANDER VALLEY</t>
  </si>
  <si>
    <t>MI0040299</t>
  </si>
  <si>
    <t>IDEAL VILLA MANUFACTURED HOME COMMUNITY</t>
  </si>
  <si>
    <t>MI0003980</t>
  </si>
  <si>
    <t>MACKINAW CITY, VILLAGE OF</t>
  </si>
  <si>
    <t>MI0007233</t>
  </si>
  <si>
    <t>IDLEWILD GARDEN HOUSING</t>
  </si>
  <si>
    <t>MI0040015</t>
  </si>
  <si>
    <t>INDIAN ACRES MOBILE HOME PARK</t>
  </si>
  <si>
    <t>MI0040108</t>
  </si>
  <si>
    <t>INDIAN RIVER MHP</t>
  </si>
  <si>
    <t>MI0040028</t>
  </si>
  <si>
    <t>VILLAGE EAST ESTATES</t>
  </si>
  <si>
    <t>MI0040233</t>
  </si>
  <si>
    <t>INDIAN VILLAGE</t>
  </si>
  <si>
    <t>MI0003362</t>
  </si>
  <si>
    <t>INLAND HOUSE CONDOMINIUM ASSOCIATION</t>
  </si>
  <si>
    <t>MI0005660</t>
  </si>
  <si>
    <t>REPUBLIC TOWNSHIP</t>
  </si>
  <si>
    <t>MI0006680</t>
  </si>
  <si>
    <t>INTERIOR TOWNSHIP</t>
  </si>
  <si>
    <t>MI0003365</t>
  </si>
  <si>
    <t>INTERLOCHEN CENTER FOR THE ARTS</t>
  </si>
  <si>
    <t>MI0002195</t>
  </si>
  <si>
    <t>LANTERN BAY TREATMENT CENTER</t>
  </si>
  <si>
    <t>MI0003390</t>
  </si>
  <si>
    <t>IRA TOWNSHIP</t>
  </si>
  <si>
    <t>MI0040368</t>
  </si>
  <si>
    <t>LAKE FOREST PARK</t>
  </si>
  <si>
    <t>MI0003410</t>
  </si>
  <si>
    <t>IRON RIVER</t>
  </si>
  <si>
    <t>MI0004610</t>
  </si>
  <si>
    <t>IRON RIVER TOWNSHIP-NASH</t>
  </si>
  <si>
    <t>MI0005760</t>
  </si>
  <si>
    <t>IRON RIVER TOWNSHIP-RYDEN ROAD</t>
  </si>
  <si>
    <t>MI0003430</t>
  </si>
  <si>
    <t>IRONWOOD TOWNSHIP</t>
  </si>
  <si>
    <t>MI0003968</t>
  </si>
  <si>
    <t>LYON TOWNSHIP</t>
  </si>
  <si>
    <t>MI0004775</t>
  </si>
  <si>
    <t>ISHPEMING TWP - EAST</t>
  </si>
  <si>
    <t>MI0002277</t>
  </si>
  <si>
    <t>LAKE PARK VILLAGE CONDOMINIUMS</t>
  </si>
  <si>
    <t>MI0003942</t>
  </si>
  <si>
    <t>ISLAND LAKE APARTMENTS</t>
  </si>
  <si>
    <t>MI0003452</t>
  </si>
  <si>
    <t>ISLANDVIEW HOME OWNERS ASSOCIATION</t>
  </si>
  <si>
    <t>MI0003460</t>
  </si>
  <si>
    <t>ITHACA, CITY OF</t>
  </si>
  <si>
    <t>MI0003475</t>
  </si>
  <si>
    <t>JAMES TOWNSHIP</t>
  </si>
  <si>
    <t>MI0005580</t>
  </si>
  <si>
    <t>QUINCY</t>
  </si>
  <si>
    <t>MI0003474</t>
  </si>
  <si>
    <t>JAMESTOWN TOWNSHIP</t>
  </si>
  <si>
    <t>MI0063476</t>
  </si>
  <si>
    <t>JAMIESON NURSING HOME</t>
  </si>
  <si>
    <t>MI0040016</t>
  </si>
  <si>
    <t>JOHNSONS MOBILE VILLAGE</t>
  </si>
  <si>
    <t>MI0003505</t>
  </si>
  <si>
    <t>JUNIPER HILLS CONDOMINIUMS</t>
  </si>
  <si>
    <t>MI0003510</t>
  </si>
  <si>
    <t>K I SAWYER</t>
  </si>
  <si>
    <t>MI0004090</t>
  </si>
  <si>
    <t>MARINE CITY</t>
  </si>
  <si>
    <t>MI0003545</t>
  </si>
  <si>
    <t>KALCHIK ESTATES</t>
  </si>
  <si>
    <t>MI0040580</t>
  </si>
  <si>
    <t>KAMP VILLA RV PARK</t>
  </si>
  <si>
    <t>MI0003570</t>
  </si>
  <si>
    <t>KAWKAWLIN METRO DIST WATER SUP</t>
  </si>
  <si>
    <t>MI0003565</t>
  </si>
  <si>
    <t>KAWKAWLIN TOWNSHIP</t>
  </si>
  <si>
    <t>MI0003595</t>
  </si>
  <si>
    <t>KEEGO HARBOR, CITY OF</t>
  </si>
  <si>
    <t>MI0003598</t>
  </si>
  <si>
    <t>KELLOGG BIOLOGICAL STATION</t>
  </si>
  <si>
    <t>MI0040264</t>
  </si>
  <si>
    <t>KENT CITY MOBILE HOME PARK</t>
  </si>
  <si>
    <t>MI0003615</t>
  </si>
  <si>
    <t>KENT RIDGE APARTMENTS</t>
  </si>
  <si>
    <t>MI0003620</t>
  </si>
  <si>
    <t>KENTWOOD</t>
  </si>
  <si>
    <t>MI0040166</t>
  </si>
  <si>
    <t>KEY COURT MOBILE HOME PARK</t>
  </si>
  <si>
    <t>MI0040276</t>
  </si>
  <si>
    <t>KEY HEIGHTS MOBILE VILLAGE</t>
  </si>
  <si>
    <t>MI0003628</t>
  </si>
  <si>
    <t>KIMBALL TOWNSHIP</t>
  </si>
  <si>
    <t>MI0002470</t>
  </si>
  <si>
    <t>TITTABAWASSEE TOWNSHIP</t>
  </si>
  <si>
    <t>MI0063635</t>
  </si>
  <si>
    <t>KING NURSING &amp; REHABILITATION COMMUNITY</t>
  </si>
  <si>
    <t>MI0005240</t>
  </si>
  <si>
    <t>PENTLAND TOWNSHIP</t>
  </si>
  <si>
    <t>MI0040171</t>
  </si>
  <si>
    <t>KINGS COURT MOBILE HOME PARK</t>
  </si>
  <si>
    <t>MI0006243</t>
  </si>
  <si>
    <t>KINGSTON APARTMENTS</t>
  </si>
  <si>
    <t>MI0003630</t>
  </si>
  <si>
    <t>KINROSS TOWNSHIP</t>
  </si>
  <si>
    <t>MI0002619</t>
  </si>
  <si>
    <t>PRENTIS ESTATES APARTMENTS</t>
  </si>
  <si>
    <t>MI0040471</t>
  </si>
  <si>
    <t>KLINES RESORT</t>
  </si>
  <si>
    <t>MI0003666</t>
  </si>
  <si>
    <t>KNORRWOOD KNOLLS SUBDIVISION</t>
  </si>
  <si>
    <t>MI0003667</t>
  </si>
  <si>
    <t>KOCHVILLE TOWNSHIP</t>
  </si>
  <si>
    <t>MI0040181</t>
  </si>
  <si>
    <t>KYCA COMMUNITY</t>
  </si>
  <si>
    <t>MI0040277</t>
  </si>
  <si>
    <t>LA-E-MA MOBILE HOME PARK</t>
  </si>
  <si>
    <t>MI0005740</t>
  </si>
  <si>
    <t>ROCKLAND TOWNSHIP</t>
  </si>
  <si>
    <t>MI0003690</t>
  </si>
  <si>
    <t>LAGUNA VISTA SUBDIVISION</t>
  </si>
  <si>
    <t>MI0003691</t>
  </si>
  <si>
    <t>LAKE ANGELA CONDO APTS #3</t>
  </si>
  <si>
    <t>MI0003694</t>
  </si>
  <si>
    <t>LAKE ANGELA CONDO APTS #4</t>
  </si>
  <si>
    <t>MI0003693</t>
  </si>
  <si>
    <t>LAKE ANGELA CONDO APTS #5</t>
  </si>
  <si>
    <t>MI0003696</t>
  </si>
  <si>
    <t>LAKE ANGELA CONDO APTS #6</t>
  </si>
  <si>
    <t>MI0003692</t>
  </si>
  <si>
    <t>LAKE ARROWHEAD ESTATES</t>
  </si>
  <si>
    <t>MI0003695</t>
  </si>
  <si>
    <t>LAKE BELLA VISTA</t>
  </si>
  <si>
    <t>MI0003741</t>
  </si>
  <si>
    <t>LAKE CHARTER TOWNSHIP</t>
  </si>
  <si>
    <t>MI0002925</t>
  </si>
  <si>
    <t>LAKE DOSTER</t>
  </si>
  <si>
    <t>MI0040158</t>
  </si>
  <si>
    <t>LAKE FENTON MOBILE HOME PARK</t>
  </si>
  <si>
    <t>MI0005549</t>
  </si>
  <si>
    <t>LAKE MICHIGAN BEACH RESORT POTTAWATTAMIE</t>
  </si>
  <si>
    <t>MI0040441</t>
  </si>
  <si>
    <t>PARKWOOD</t>
  </si>
  <si>
    <t>MI0003730</t>
  </si>
  <si>
    <t>LAKE ODESSA</t>
  </si>
  <si>
    <t>MI0003740</t>
  </si>
  <si>
    <t>LAKE ORION, VILLAGE OF</t>
  </si>
  <si>
    <t>MI0003737</t>
  </si>
  <si>
    <t>LAKE POINTE CONDOMINIUMS</t>
  </si>
  <si>
    <t>MI0040075</t>
  </si>
  <si>
    <t>LAKECREST MOBILE COURT</t>
  </si>
  <si>
    <t>MI0003751</t>
  </si>
  <si>
    <t>LAKESHORE CONDOMINIUMS</t>
  </si>
  <si>
    <t>MI0003145</t>
  </si>
  <si>
    <t>LAKESHORE EAST CONDOMINIUMS</t>
  </si>
  <si>
    <t>MI0040034</t>
  </si>
  <si>
    <t>LAKESHORE ESTATES MHP</t>
  </si>
  <si>
    <t>MI0003753</t>
  </si>
  <si>
    <t>LAKESHORE HILLTOP APARTMENTS</t>
  </si>
  <si>
    <t>MI0040169</t>
  </si>
  <si>
    <t>LAKESHORE VILLAGE</t>
  </si>
  <si>
    <t>MI0002590</t>
  </si>
  <si>
    <t>SHERMAN TOWNSHIP</t>
  </si>
  <si>
    <t>MI0005577</t>
  </si>
  <si>
    <t>LAKESHORE VILLAGE SUBDIVISION</t>
  </si>
  <si>
    <t>MI0006025</t>
  </si>
  <si>
    <t>SHELDON DUNES</t>
  </si>
  <si>
    <t>MI0003744</t>
  </si>
  <si>
    <t>LAKESIDE CLUB CONDOMINIUMS</t>
  </si>
  <si>
    <t>MI0006850</t>
  </si>
  <si>
    <t>WALDRON</t>
  </si>
  <si>
    <t>MI0003752</t>
  </si>
  <si>
    <t>LAKESIDE DEVELOPMENT</t>
  </si>
  <si>
    <t>MI0003742</t>
  </si>
  <si>
    <t>LAKESIDE ESTATES SUBDIVISION</t>
  </si>
  <si>
    <t>MI0040292</t>
  </si>
  <si>
    <t>LAKESIDE MOBILE HOME COMMUNITY</t>
  </si>
  <si>
    <t>MI0004020</t>
  </si>
  <si>
    <t>MANCHESTER</t>
  </si>
  <si>
    <t>MI0003755</t>
  </si>
  <si>
    <t>LAKEVIEW APARTMENTS</t>
  </si>
  <si>
    <t>MI0006443</t>
  </si>
  <si>
    <t>MI0040451</t>
  </si>
  <si>
    <t>LAKEVIEW ESTATES</t>
  </si>
  <si>
    <t>MI0040431</t>
  </si>
  <si>
    <t>LAKEVIEW TRAILER PARK</t>
  </si>
  <si>
    <t>MI0003757</t>
  </si>
  <si>
    <t>LAKEWOOD BEACH COMMUNITY SERVICES CO.</t>
  </si>
  <si>
    <t>MI0006935</t>
  </si>
  <si>
    <t>LAKEWOOD TERRACE ASSOCIATION</t>
  </si>
  <si>
    <t>MI0003670</t>
  </si>
  <si>
    <t>L'ANSE</t>
  </si>
  <si>
    <t>MI0003760</t>
  </si>
  <si>
    <t>LANSING BOARD OF WATER &amp; LIGHT</t>
  </si>
  <si>
    <t>MI0003770</t>
  </si>
  <si>
    <t>LANSING TOWNSHIP</t>
  </si>
  <si>
    <t>MI0003780</t>
  </si>
  <si>
    <t>LAPEER, CITY OF</t>
  </si>
  <si>
    <t>MI0003794</t>
  </si>
  <si>
    <t>LARKIN TOWNSHIP</t>
  </si>
  <si>
    <t>MI0003800</t>
  </si>
  <si>
    <t>LATHRUP VILLAGE</t>
  </si>
  <si>
    <t>MI0003820</t>
  </si>
  <si>
    <t>LAWRENCE</t>
  </si>
  <si>
    <t>MI0040308</t>
  </si>
  <si>
    <t>LEE VILLA MOBILE HOME PARK</t>
  </si>
  <si>
    <t>MI0003829</t>
  </si>
  <si>
    <t>LEELANAU CO LAW ENFORCEMENT CENTER</t>
  </si>
  <si>
    <t>MI0040311</t>
  </si>
  <si>
    <t>LEFFINGWELL ESTATES</t>
  </si>
  <si>
    <t>MI0005100</t>
  </si>
  <si>
    <t>OVID, CITY OF</t>
  </si>
  <si>
    <t>MI0040279</t>
  </si>
  <si>
    <t>LEISURE VILLAGE</t>
  </si>
  <si>
    <t>MI0003836</t>
  </si>
  <si>
    <t>LENOX TOWNSHIP</t>
  </si>
  <si>
    <t>MI0003837</t>
  </si>
  <si>
    <t>LEONI TOWNSHIP</t>
  </si>
  <si>
    <t>MI0003850</t>
  </si>
  <si>
    <t>LEXINGTON, VILLAGE OF</t>
  </si>
  <si>
    <t>MI0040227</t>
  </si>
  <si>
    <t>LILLY BANK LANE</t>
  </si>
  <si>
    <t>MI0040001</t>
  </si>
  <si>
    <t>LINCOLN ESTATES</t>
  </si>
  <si>
    <t>MI0063865</t>
  </si>
  <si>
    <t>LINCOLN HAVEN NURSING &amp; REHABILITATION</t>
  </si>
  <si>
    <t>MI0003868</t>
  </si>
  <si>
    <t>LINCOLN MANOR</t>
  </si>
  <si>
    <t>MI0040586</t>
  </si>
  <si>
    <t>LINCOLN PINES</t>
  </si>
  <si>
    <t>MI0040098</t>
  </si>
  <si>
    <t>LINDEN MOBILE HOME PARK</t>
  </si>
  <si>
    <t>MI0040145</t>
  </si>
  <si>
    <t>LINDEN PLACE MOBILE HOME PARK</t>
  </si>
  <si>
    <t>MI0003890</t>
  </si>
  <si>
    <t>LINDEN, CITY OF</t>
  </si>
  <si>
    <t>MI0003910</t>
  </si>
  <si>
    <t>LINWOOD METROPOLITAN DISTRICT</t>
  </si>
  <si>
    <t>MI0003920</t>
  </si>
  <si>
    <t>LITCHFIELD</t>
  </si>
  <si>
    <t>MI0003927</t>
  </si>
  <si>
    <t>LITTLE TRAVERSE TOWNSHIP</t>
  </si>
  <si>
    <t>MI0003929</t>
  </si>
  <si>
    <t>LIVINGSTON COMMUNITY WATER AUTHORITY</t>
  </si>
  <si>
    <t>MI0003943</t>
  </si>
  <si>
    <t>LOCKPORT TOWNSHIP</t>
  </si>
  <si>
    <t>MI0040209</t>
  </si>
  <si>
    <t>LONG LAKE MOBILE HOME ESTATES</t>
  </si>
  <si>
    <t>MI0004770</t>
  </si>
  <si>
    <t>NORTH BRANCH, VILLAGE OF</t>
  </si>
  <si>
    <t>MI0003947</t>
  </si>
  <si>
    <t>LONG LAKE VILLAGE SUBDIVISION</t>
  </si>
  <si>
    <t>MI0003946</t>
  </si>
  <si>
    <t>LOOKING GLASS TERRACES APTS.</t>
  </si>
  <si>
    <t>MI0040151</t>
  </si>
  <si>
    <t>LOON LAKE MOBILE HOME PARK</t>
  </si>
  <si>
    <t>MI0003955</t>
  </si>
  <si>
    <t>LOWELL TOWNSHIP</t>
  </si>
  <si>
    <t>MI0003966</t>
  </si>
  <si>
    <t>LYNX GOLF VIEW</t>
  </si>
  <si>
    <t>MI0004620</t>
  </si>
  <si>
    <t>NASHVILLE</t>
  </si>
  <si>
    <t>MI0003967</t>
  </si>
  <si>
    <t>LYONS</t>
  </si>
  <si>
    <t>MI0003970</t>
  </si>
  <si>
    <t>MACKINAC ISLAND</t>
  </si>
  <si>
    <t>MI0003990</t>
  </si>
  <si>
    <t>MACOMB TOWNSHIP</t>
  </si>
  <si>
    <t>MI0006485</t>
  </si>
  <si>
    <t>SUNSET TORCH ASSOCIATION</t>
  </si>
  <si>
    <t>MI0004006</t>
  </si>
  <si>
    <t>MADISON TOWNSHIP</t>
  </si>
  <si>
    <t>MI0004310</t>
  </si>
  <si>
    <t>MESICK, VILLAGE OF</t>
  </si>
  <si>
    <t>MI0005180</t>
  </si>
  <si>
    <t>MAN NOR FARMS SUBDIVISION</t>
  </si>
  <si>
    <t>MI0005620</t>
  </si>
  <si>
    <t>READING</t>
  </si>
  <si>
    <t>MI0006568</t>
  </si>
  <si>
    <t>MANCELONA AREA WSA - THE CHIEF</t>
  </si>
  <si>
    <t>MI0040332</t>
  </si>
  <si>
    <t>MANISTEE FOREST PINES ESTATES</t>
  </si>
  <si>
    <t>MI0004042</t>
  </si>
  <si>
    <t>MANITOU LAKE APARTMENTS</t>
  </si>
  <si>
    <t>MI0004053</t>
  </si>
  <si>
    <t>MAPLE GROVE APARTMENTS</t>
  </si>
  <si>
    <t>MI0040020</t>
  </si>
  <si>
    <t>MAPLE GROVE ESTATES</t>
  </si>
  <si>
    <t>MI0005270</t>
  </si>
  <si>
    <t>PERRINTON, VILLAGE OF</t>
  </si>
  <si>
    <t>MI0040361</t>
  </si>
  <si>
    <t>MAPLE ISLAND ESTATES</t>
  </si>
  <si>
    <t>MI0040123</t>
  </si>
  <si>
    <t>MAPLE KNOLL</t>
  </si>
  <si>
    <t>MI0004063</t>
  </si>
  <si>
    <t>MAPLE RIDGE TOWNSHIP</t>
  </si>
  <si>
    <t>MI0064067</t>
  </si>
  <si>
    <t>MAPLE VALLEY NURSING HOME</t>
  </si>
  <si>
    <t>MI0040217</t>
  </si>
  <si>
    <t>MAPLEVIEW ESTATES</t>
  </si>
  <si>
    <t>MI0040219</t>
  </si>
  <si>
    <t>MAPLEVIEW ESTATES EAST</t>
  </si>
  <si>
    <t>MI0064070</t>
  </si>
  <si>
    <t>MAPLEVIEW NURSING HOME</t>
  </si>
  <si>
    <t>MI0004419</t>
  </si>
  <si>
    <t>MAPLEWOOD AND STONE MANORS</t>
  </si>
  <si>
    <t>MI0004810</t>
  </si>
  <si>
    <t>NORTHPORT, VILLAGE OF</t>
  </si>
  <si>
    <t>MI0004069</t>
  </si>
  <si>
    <t>MAPLEWOOD RIDGE CONDOMINIUMS</t>
  </si>
  <si>
    <t>MI0040071</t>
  </si>
  <si>
    <t>MARBLE LAKE RESORT &amp; MARINA</t>
  </si>
  <si>
    <t>MI0004080</t>
  </si>
  <si>
    <t>MARENISCO TOWNSHIP</t>
  </si>
  <si>
    <t>MI0004100</t>
  </si>
  <si>
    <t>MARION, VILLAGE OF</t>
  </si>
  <si>
    <t>MI0040100</t>
  </si>
  <si>
    <t>MARLIN VILLAGE MOBILE HOME PARK</t>
  </si>
  <si>
    <t>MI0004025</t>
  </si>
  <si>
    <t>MARQUETTE COUNTY CORRECTIONS CENTER</t>
  </si>
  <si>
    <t>MI0004140</t>
  </si>
  <si>
    <t>MARQUETTE TOWNSHIP</t>
  </si>
  <si>
    <t>MI0004155</t>
  </si>
  <si>
    <t>MARTIN</t>
  </si>
  <si>
    <t>MI0040197</t>
  </si>
  <si>
    <t>MASON MANOR</t>
  </si>
  <si>
    <t>MI0003749</t>
  </si>
  <si>
    <t>SPRINGS/PORTSMOUTH APARTMENTS</t>
  </si>
  <si>
    <t>MI0004173</t>
  </si>
  <si>
    <t>MASONVILLE TOWNSHIP</t>
  </si>
  <si>
    <t>MI0004152</t>
  </si>
  <si>
    <t>MATHIAS TOWNSHIP</t>
  </si>
  <si>
    <t>MI0004177</t>
  </si>
  <si>
    <t>MATTAWAN</t>
  </si>
  <si>
    <t>MI0004180</t>
  </si>
  <si>
    <t>MAYVILLE, VILLAGE OF</t>
  </si>
  <si>
    <t>MI0004190</t>
  </si>
  <si>
    <t>MCBAIN, CITY OF</t>
  </si>
  <si>
    <t>MI0002200</t>
  </si>
  <si>
    <t>MCMILLAN TOWNSHIP</t>
  </si>
  <si>
    <t>MI0006375</t>
  </si>
  <si>
    <t>MCTI</t>
  </si>
  <si>
    <t>MI0006377</t>
  </si>
  <si>
    <t>MCTI FAMILY HOUSING</t>
  </si>
  <si>
    <t>MI0040612</t>
  </si>
  <si>
    <t>MEADOW LAKE ESTATES MHC</t>
  </si>
  <si>
    <t>MI0040061</t>
  </si>
  <si>
    <t>MEADOW STREAMS ESTATES</t>
  </si>
  <si>
    <t>MI0060675</t>
  </si>
  <si>
    <t>MEADOW WOODS N/R CENTER</t>
  </si>
  <si>
    <t>MI0064213</t>
  </si>
  <si>
    <t>MEADOWBROOK MED CARE FACILITY</t>
  </si>
  <si>
    <t>MI0040172</t>
  </si>
  <si>
    <t>MEADOWLANE MOBILE HOME PARK</t>
  </si>
  <si>
    <t>MI0062841</t>
  </si>
  <si>
    <t>MEDILODGE OF STERLING</t>
  </si>
  <si>
    <t>MI0004215</t>
  </si>
  <si>
    <t>MELROSE-CHANDLER WATER, LLC</t>
  </si>
  <si>
    <t>MI0040470</t>
  </si>
  <si>
    <t>MEMORY LANE MOBILE HOME PARK</t>
  </si>
  <si>
    <t>MI0003831</t>
  </si>
  <si>
    <t>THE LEELANAU SCHOOL</t>
  </si>
  <si>
    <t>MI0004230</t>
  </si>
  <si>
    <t>MEMPHIS, CITY OF</t>
  </si>
  <si>
    <t>MI0004260</t>
  </si>
  <si>
    <t>MERIDIAN TOWNSHIP</t>
  </si>
  <si>
    <t>MI0004276</t>
  </si>
  <si>
    <t>MERRILL, VILLAGE OF</t>
  </si>
  <si>
    <t>MI0004280</t>
  </si>
  <si>
    <t>MERRITT TOWNSHIP</t>
  </si>
  <si>
    <t>MI0004098</t>
  </si>
  <si>
    <t>MHOG SEWER &amp; WATER AUTHORITY</t>
  </si>
  <si>
    <t>MI0004320</t>
  </si>
  <si>
    <t>MICHIANA</t>
  </si>
  <si>
    <t>MI0040472</t>
  </si>
  <si>
    <t>MICHIANA MOBILE HOME PARK</t>
  </si>
  <si>
    <t>MI0004340</t>
  </si>
  <si>
    <t>MICHIGAN STATE UNIVERSITY</t>
  </si>
  <si>
    <t>MI0004377</t>
  </si>
  <si>
    <t>MIDLAND CHARTER TOWNSHIP</t>
  </si>
  <si>
    <t>MI0004375</t>
  </si>
  <si>
    <t>MIDLAND CO., WATER DIST. NO. 1 OF</t>
  </si>
  <si>
    <t>MI0007015</t>
  </si>
  <si>
    <t>MIDTOWN FLATS, LLC</t>
  </si>
  <si>
    <t>MI0006631</t>
  </si>
  <si>
    <t>MILL STREET 1 LDHA</t>
  </si>
  <si>
    <t>MI0004397</t>
  </si>
  <si>
    <t>MILLERSBURG, VILLAGE OF</t>
  </si>
  <si>
    <t>MI0004403</t>
  </si>
  <si>
    <t>MILLPOINTE OF HARTLAND</t>
  </si>
  <si>
    <t>MI0004404</t>
  </si>
  <si>
    <t>MILLS TOWNSHIP</t>
  </si>
  <si>
    <t>MI0004410</t>
  </si>
  <si>
    <t>MINDEN CITY, VILLAGE OF</t>
  </si>
  <si>
    <t>MI0062658</t>
  </si>
  <si>
    <t>MISSION POINT HEALTHCARE</t>
  </si>
  <si>
    <t>MI0004428</t>
  </si>
  <si>
    <t>MISTY COVE SENIOR APARTMENTS</t>
  </si>
  <si>
    <t>MI0040571</t>
  </si>
  <si>
    <t>MISTY MEADOWS MOBILE HOME PARK</t>
  </si>
  <si>
    <t>MI0040606</t>
  </si>
  <si>
    <t>MITCHELL BROTHERS MOBILE HOME PARK</t>
  </si>
  <si>
    <t>MI0004440</t>
  </si>
  <si>
    <t>MONITOR TOWNSHIP</t>
  </si>
  <si>
    <t>MI0004455</t>
  </si>
  <si>
    <t>MONROE SOUTH COUNTY</t>
  </si>
  <si>
    <t>MI0040152</t>
  </si>
  <si>
    <t>MONTROSE TRAILER PARK</t>
  </si>
  <si>
    <t>MI0004480</t>
  </si>
  <si>
    <t>MONTROSE, CITY OF</t>
  </si>
  <si>
    <t>MI0040452</t>
  </si>
  <si>
    <t>MOON LAKE ESTATES</t>
  </si>
  <si>
    <t>MI0040643</t>
  </si>
  <si>
    <t>MORRICE MEADOWS</t>
  </si>
  <si>
    <t>MI0040247</t>
  </si>
  <si>
    <t>MORROW CROSSING MHC</t>
  </si>
  <si>
    <t>MI0004095</t>
  </si>
  <si>
    <t>RIVERFRONT CONDOS OF NILES</t>
  </si>
  <si>
    <t>MI0007105</t>
  </si>
  <si>
    <t>WILDWOOD ON WALLOON ASSOCIATION</t>
  </si>
  <si>
    <t>MI0004550</t>
  </si>
  <si>
    <t>MUIR</t>
  </si>
  <si>
    <t>MI0004561</t>
  </si>
  <si>
    <t>MUNISING INDUSTRIAL PARK</t>
  </si>
  <si>
    <t>MI0004577</t>
  </si>
  <si>
    <t>MUSK CO NORTHSIDE WATER SYSTEM</t>
  </si>
  <si>
    <t>MI0004590</t>
  </si>
  <si>
    <t>MUSKEGON CO EASTSIDE WATER SYSTEM</t>
  </si>
  <si>
    <t>MI0004595</t>
  </si>
  <si>
    <t>MYSTIC RIDGE L.L.C.</t>
  </si>
  <si>
    <t>MI0004596</t>
  </si>
  <si>
    <t>MYSTIC VIEW APARTMENTS</t>
  </si>
  <si>
    <t>MI0005427</t>
  </si>
  <si>
    <t>POLKTON TOWNSHIP</t>
  </si>
  <si>
    <t>MI0004600</t>
  </si>
  <si>
    <t>NAHMA TOWNSHIP</t>
  </si>
  <si>
    <t>MI0004605</t>
  </si>
  <si>
    <t>NAPOLEON TOWNSHIP</t>
  </si>
  <si>
    <t>MI0040230</t>
  </si>
  <si>
    <t>SPRING VALLEY ESTATES</t>
  </si>
  <si>
    <t>MI0004647</t>
  </si>
  <si>
    <t>NAZARENE CAMP</t>
  </si>
  <si>
    <t>MI0006030</t>
  </si>
  <si>
    <t>SHEPHERD, VILLAGE OF</t>
  </si>
  <si>
    <t>MI0004655</t>
  </si>
  <si>
    <t>NEGAUNEE TOWNSHIP</t>
  </si>
  <si>
    <t>MI0040637</t>
  </si>
  <si>
    <t>NESEN'S COUNTRYSIDE ACRES</t>
  </si>
  <si>
    <t>MI0004670</t>
  </si>
  <si>
    <t>NEW BALTIMORE, CITY OF</t>
  </si>
  <si>
    <t>MI0004680</t>
  </si>
  <si>
    <t>NEW BUFFALO</t>
  </si>
  <si>
    <t>MI0004685</t>
  </si>
  <si>
    <t>NEW BUFFALO TOWNSHIP</t>
  </si>
  <si>
    <t>MI0004690</t>
  </si>
  <si>
    <t>NEW HAVEN, VILLAGE OF</t>
  </si>
  <si>
    <t>MI0004700</t>
  </si>
  <si>
    <t>NEW LOTHROP, VILLAGE OF</t>
  </si>
  <si>
    <t>MI0004730</t>
  </si>
  <si>
    <t>NEWBERRY CORRECTIONAL FACILITY</t>
  </si>
  <si>
    <t>MI0007010</t>
  </si>
  <si>
    <t>WEST BRANCH, CITY OF</t>
  </si>
  <si>
    <t>MI0004750</t>
  </si>
  <si>
    <t>NILES TOWNSHIP</t>
  </si>
  <si>
    <t>MI0004753</t>
  </si>
  <si>
    <t>NINE MILE POINTE</t>
  </si>
  <si>
    <t>MI0040616</t>
  </si>
  <si>
    <t>NORTH BAY HARBOR CLUB</t>
  </si>
  <si>
    <t>MI0040432</t>
  </si>
  <si>
    <t>NORTH SHORE TRAILER PARK</t>
  </si>
  <si>
    <t>MI0060238</t>
  </si>
  <si>
    <t>NORTH WOODS NURSING CENTER</t>
  </si>
  <si>
    <t>MI0006560</t>
  </si>
  <si>
    <t>TECUMSEH</t>
  </si>
  <si>
    <t>MI0040039</t>
  </si>
  <si>
    <t>NORTHERN COUNTRY ESTATES</t>
  </si>
  <si>
    <t>MI0007120</t>
  </si>
  <si>
    <t>WILLIAMSTON, CITY OF</t>
  </si>
  <si>
    <t>MI0040594</t>
  </si>
  <si>
    <t>NORTHFIELD ESTATES</t>
  </si>
  <si>
    <t>MI0004820</t>
  </si>
  <si>
    <t>NORTHPORT COTTAGE OWNERS</t>
  </si>
  <si>
    <t>MI0040657</t>
  </si>
  <si>
    <t>NORTHVILLE CROSSING</t>
  </si>
  <si>
    <t>MI0004845</t>
  </si>
  <si>
    <t>NORTHVILLE TOWNSHIP</t>
  </si>
  <si>
    <t>MI0040453</t>
  </si>
  <si>
    <t>NORTHWOODS COMMUNITY</t>
  </si>
  <si>
    <t>MI0040414</t>
  </si>
  <si>
    <t>NOTTINGHAM FOREST MHP</t>
  </si>
  <si>
    <t>MI0040655</t>
  </si>
  <si>
    <t>NP CREEK VALLEY NORTH</t>
  </si>
  <si>
    <t>MI0005575</t>
  </si>
  <si>
    <t>PRESQUE ISLE HARBOR WATER CO.</t>
  </si>
  <si>
    <t>MI0040079</t>
  </si>
  <si>
    <t>NP CREEK VALLEY SOUTH</t>
  </si>
  <si>
    <t>MI0004873</t>
  </si>
  <si>
    <t>OAK HAVEN</t>
  </si>
  <si>
    <t>MI0040391</t>
  </si>
  <si>
    <t>OAK HILL ESTATES MHC</t>
  </si>
  <si>
    <t>MI0004876</t>
  </si>
  <si>
    <t>OAK LANE APARTMENTS</t>
  </si>
  <si>
    <t>MI0004874</t>
  </si>
  <si>
    <t>OAK LEAF MANOR</t>
  </si>
  <si>
    <t>MI0006040</t>
  </si>
  <si>
    <t>SHERIDAN</t>
  </si>
  <si>
    <t>MI0040266</t>
  </si>
  <si>
    <t>OAKFIELD MOBILE HOME PARK</t>
  </si>
  <si>
    <t>MI0005573</t>
  </si>
  <si>
    <t>OAKLAND HUNT SUBDIVISION</t>
  </si>
  <si>
    <t>MI0040678</t>
  </si>
  <si>
    <t>OAKS OF ROCKFORD</t>
  </si>
  <si>
    <t>MI0040222</t>
  </si>
  <si>
    <t>OAKVIEW MOBILE ESTATES</t>
  </si>
  <si>
    <t>MI0004920</t>
  </si>
  <si>
    <t>OCEANA ACRES</t>
  </si>
  <si>
    <t>MI0004935</t>
  </si>
  <si>
    <t>OGEMAW TOWNSHIP</t>
  </si>
  <si>
    <t>MI0004960</t>
  </si>
  <si>
    <t>OLD FARM COLONY WATER ASSOCIATION</t>
  </si>
  <si>
    <t>MI0040156</t>
  </si>
  <si>
    <t>OLD ORCHARD ESTATES</t>
  </si>
  <si>
    <t>MI0004990</t>
  </si>
  <si>
    <t>OLIVET, CITY OF</t>
  </si>
  <si>
    <t>MI0000700</t>
  </si>
  <si>
    <t>POWELL TOWNSHIP</t>
  </si>
  <si>
    <t>MI0005005</t>
  </si>
  <si>
    <t>OMER, CITY OF</t>
  </si>
  <si>
    <t>MI0040067</t>
  </si>
  <si>
    <t>ONTARIO PLACE</t>
  </si>
  <si>
    <t>MI0005030</t>
  </si>
  <si>
    <t>ONTONAGON</t>
  </si>
  <si>
    <t>MI0004877</t>
  </si>
  <si>
    <t>SOUTHEAST OAKLAND TOWNSHIP</t>
  </si>
  <si>
    <t>MI0040647</t>
  </si>
  <si>
    <t>ORCHARD COVE</t>
  </si>
  <si>
    <t>MI0040503</t>
  </si>
  <si>
    <t>ORCHARD GROVE</t>
  </si>
  <si>
    <t>MI0004878</t>
  </si>
  <si>
    <t>SOUTHWEST OAKLAND TOWNSHIP</t>
  </si>
  <si>
    <t>MI0005031</t>
  </si>
  <si>
    <t>ORCHARD LAKE VILLAGE</t>
  </si>
  <si>
    <t>MI0040399</t>
  </si>
  <si>
    <t>ORION LAKE ESTATES MHC</t>
  </si>
  <si>
    <t>MI0005037</t>
  </si>
  <si>
    <t>OSBORN LAKE ESTATES</t>
  </si>
  <si>
    <t>MI0005040</t>
  </si>
  <si>
    <t>OSCODA TOWNSHIP</t>
  </si>
  <si>
    <t>MI0005065</t>
  </si>
  <si>
    <t>OTSEGO TOWNSHIP</t>
  </si>
  <si>
    <t>MI0005110</t>
  </si>
  <si>
    <t>OWENDALE, VILLAGE OF</t>
  </si>
  <si>
    <t>MI0006770</t>
  </si>
  <si>
    <t>VAN BUREN TOWNSHIP</t>
  </si>
  <si>
    <t>MI0005138</t>
  </si>
  <si>
    <t>OXFORD TOWNSHIP</t>
  </si>
  <si>
    <t>MI0005150</t>
  </si>
  <si>
    <t>OYSTER POINTE CONDOMINIUMS</t>
  </si>
  <si>
    <t>MI0040310</t>
  </si>
  <si>
    <t>PARK VIEW COURT</t>
  </si>
  <si>
    <t>MI0040340</t>
  </si>
  <si>
    <t>PARKS PLACE ESTATES</t>
  </si>
  <si>
    <t>MI0005160</t>
  </si>
  <si>
    <t>RICHMOND TOWNSHIP</t>
  </si>
  <si>
    <t>MI0040284</t>
  </si>
  <si>
    <t>PARKWOOD GREEN</t>
  </si>
  <si>
    <t>MI0005205</t>
  </si>
  <si>
    <t>PARMA TOWNSHIP-AMBERTON VILL.</t>
  </si>
  <si>
    <t>MI0006830</t>
  </si>
  <si>
    <t>WAKEFIELD</t>
  </si>
  <si>
    <t>MI0005204</t>
  </si>
  <si>
    <t>PARMA, VILLAGE OF</t>
  </si>
  <si>
    <t>MI0005209</t>
  </si>
  <si>
    <t>PAW PAW APTS - WEST MAPLE LAKE</t>
  </si>
  <si>
    <t>MI0040062</t>
  </si>
  <si>
    <t>PAW PAW LAKE MH PARK</t>
  </si>
  <si>
    <t>MI0005235</t>
  </si>
  <si>
    <t>PENNY LAKE ESTATES SUBDIVISION</t>
  </si>
  <si>
    <t>MI0005220</t>
  </si>
  <si>
    <t>PECK, VILLAGE OF</t>
  </si>
  <si>
    <t>MI0005233</t>
  </si>
  <si>
    <t>PENINSULA TOWNSHIP</t>
  </si>
  <si>
    <t>MI0004760</t>
  </si>
  <si>
    <t>PENNFIELD TOWNSHIP</t>
  </si>
  <si>
    <t>MI0005232</t>
  </si>
  <si>
    <t>PENNFIELD TWP-CONVIS/VERONA</t>
  </si>
  <si>
    <t>MI0005268</t>
  </si>
  <si>
    <t>PERE MARQUETTE TWP - WELLS</t>
  </si>
  <si>
    <t>MI0005305</t>
  </si>
  <si>
    <t>PETOSKEY PARK APARTMENTS</t>
  </si>
  <si>
    <t>MI0005267</t>
  </si>
  <si>
    <t>PERE MARQUETTE TWP - CUSTOMER</t>
  </si>
  <si>
    <t>MI0005322</t>
  </si>
  <si>
    <t>PINCKNEY, VILLAGE OF</t>
  </si>
  <si>
    <t>MI0005335</t>
  </si>
  <si>
    <t>PINCONNING TOWNSHIP</t>
  </si>
  <si>
    <t>MI0005345</t>
  </si>
  <si>
    <t>PINECREST APARTMENTS</t>
  </si>
  <si>
    <t>MI0005290</t>
  </si>
  <si>
    <t>PETERSBURG</t>
  </si>
  <si>
    <t>MI0005351</t>
  </si>
  <si>
    <t>PINEVIEW HOMES</t>
  </si>
  <si>
    <t>MI0005353</t>
  </si>
  <si>
    <t>PINEHURST APARTMENTS</t>
  </si>
  <si>
    <t>MI0005355</t>
  </si>
  <si>
    <t>PIRATES COVE CONDOMINIUMS</t>
  </si>
  <si>
    <t>MI0005315</t>
  </si>
  <si>
    <t>PHEASANT RUN MANOR APARTMENTS</t>
  </si>
  <si>
    <t>MI0005360</t>
  </si>
  <si>
    <t>PITTSFIELD TOWNSHIP</t>
  </si>
  <si>
    <t>MI0040494</t>
  </si>
  <si>
    <t>PHELPS MOBILE HOME VILLA</t>
  </si>
  <si>
    <t>MI0040086</t>
  </si>
  <si>
    <t>PHOENIX MOBILE HOME COURT</t>
  </si>
  <si>
    <t>MI0005370</t>
  </si>
  <si>
    <t>PLAINFIELD TOWNSHIP</t>
  </si>
  <si>
    <t>MI0005320</t>
  </si>
  <si>
    <t>PIGEON, VILLAGE OF</t>
  </si>
  <si>
    <t>MI0005380</t>
  </si>
  <si>
    <t>PLAINWELL</t>
  </si>
  <si>
    <t>MI0005397</t>
  </si>
  <si>
    <t>PLUM CREEK SUB</t>
  </si>
  <si>
    <t>MI0040525</t>
  </si>
  <si>
    <t>PINE ACRES MOBILE HOME PARK</t>
  </si>
  <si>
    <t>MI0005425</t>
  </si>
  <si>
    <t>POINT NIPIGON RESORT</t>
  </si>
  <si>
    <t>MI0040481</t>
  </si>
  <si>
    <t>PINE CREST MOBILE HOME PARK</t>
  </si>
  <si>
    <t>MI0040609</t>
  </si>
  <si>
    <t>PINE HAVEN ESTATES MHC</t>
  </si>
  <si>
    <t>MI0005430</t>
  </si>
  <si>
    <t>POINTE AUX BARQUES TOWNSHIP</t>
  </si>
  <si>
    <t>MI0040577</t>
  </si>
  <si>
    <t>PINE ISLAND LAKE REC PARK</t>
  </si>
  <si>
    <t>MI0005460</t>
  </si>
  <si>
    <t>PORT AUSTIN AREA SEWER &amp; WATER</t>
  </si>
  <si>
    <t>MI0002000</t>
  </si>
  <si>
    <t>PINE KNOLL APARTMENTS, LLC</t>
  </si>
  <si>
    <t>MI0005475</t>
  </si>
  <si>
    <t>PORT HOPE-GORE-RUBICON U. A.</t>
  </si>
  <si>
    <t>MI0040670</t>
  </si>
  <si>
    <t>PINE LAKES MANUFACTURED HOMES</t>
  </si>
  <si>
    <t>MI0005520</t>
  </si>
  <si>
    <t>PORTAGE</t>
  </si>
  <si>
    <t>MI0040603</t>
  </si>
  <si>
    <t>PINE RIDGE COMMUNITY, INC.</t>
  </si>
  <si>
    <t>MI0005527</t>
  </si>
  <si>
    <t>PORTAGE POINT INN</t>
  </si>
  <si>
    <t>MI0040601</t>
  </si>
  <si>
    <t>PINE RIDGE MOBILE HOME COMMUNITY</t>
  </si>
  <si>
    <t>MI0005540</t>
  </si>
  <si>
    <t>PORTSMOUTH TOWNSHIP</t>
  </si>
  <si>
    <t>MI0040672</t>
  </si>
  <si>
    <t>PINE RIVER RIDGE</t>
  </si>
  <si>
    <t>MI0040446</t>
  </si>
  <si>
    <t>PINE TERRACE ESTATES</t>
  </si>
  <si>
    <t>MI0005543</t>
  </si>
  <si>
    <t>POSEN, VILLAGE OF</t>
  </si>
  <si>
    <t>MI0040210</t>
  </si>
  <si>
    <t>PINE VIEW MOBILE HOME PARK</t>
  </si>
  <si>
    <t>MI0005550</t>
  </si>
  <si>
    <t>POTTERVILLE, CITY OF</t>
  </si>
  <si>
    <t>MI0005563</t>
  </si>
  <si>
    <t>POWERS-SPALDING WATER AUTHORITY</t>
  </si>
  <si>
    <t>MI0040464</t>
  </si>
  <si>
    <t>PINEWOOD ON THE LAKE MHP</t>
  </si>
  <si>
    <t>MI0005566</t>
  </si>
  <si>
    <t>PRAIRIE VILLAGE APARTMENTS</t>
  </si>
  <si>
    <t>MI0005570</t>
  </si>
  <si>
    <t>PRESCOTT-HIDDEN CREEK MANOR</t>
  </si>
  <si>
    <t>MI0060695</t>
  </si>
  <si>
    <t>PLAINWELL PINES H C F</t>
  </si>
  <si>
    <t>MI0040167</t>
  </si>
  <si>
    <t>PLEASANT BEACH MOBILE HOME RESORT</t>
  </si>
  <si>
    <t>MI0040504</t>
  </si>
  <si>
    <t>PLEASANT LAKE PARK LLC</t>
  </si>
  <si>
    <t>MI0005606</t>
  </si>
  <si>
    <t>WEST PARK APARTMENTS</t>
  </si>
  <si>
    <t>MI0005607</t>
  </si>
  <si>
    <t>RAPID RIVER MEADOWS</t>
  </si>
  <si>
    <t>MI0005420</t>
  </si>
  <si>
    <t>PLYMOUTH TOWNSHIP</t>
  </si>
  <si>
    <t>MI0005610</t>
  </si>
  <si>
    <t>RAVENNA</t>
  </si>
  <si>
    <t>MI0005655</t>
  </si>
  <si>
    <t>REMUS APARTMENT COMPANY</t>
  </si>
  <si>
    <t>MI0005673</t>
  </si>
  <si>
    <t>RIDGEWAY</t>
  </si>
  <si>
    <t>MI0005675</t>
  </si>
  <si>
    <t>RIGA TOWNSHIP</t>
  </si>
  <si>
    <t>MI0040491</t>
  </si>
  <si>
    <t>PORT OF CALL - WEST</t>
  </si>
  <si>
    <t>MI0005692</t>
  </si>
  <si>
    <t>RIVERBROOKE HOME OWNERS ASSOCIATION</t>
  </si>
  <si>
    <t>MI0005500</t>
  </si>
  <si>
    <t>PORT SANILAC, VILLAGE OF</t>
  </si>
  <si>
    <t>MI0005723</t>
  </si>
  <si>
    <t>ROCHESTER EAST</t>
  </si>
  <si>
    <t>MI0005770</t>
  </si>
  <si>
    <t>ROGERS CITY, CITY OF</t>
  </si>
  <si>
    <t>MI0040253</t>
  </si>
  <si>
    <t>PORTAGE TERRACE</t>
  </si>
  <si>
    <t>MI0005775</t>
  </si>
  <si>
    <t>ROLLING MEADOWS WATER ASSN.</t>
  </si>
  <si>
    <t>MI0005720</t>
  </si>
  <si>
    <t>ROCHESTER</t>
  </si>
  <si>
    <t>MI0005815</t>
  </si>
  <si>
    <t>ROSE CITY, CITY OF</t>
  </si>
  <si>
    <t>MI0005816</t>
  </si>
  <si>
    <t>ROSE HILL CENTER</t>
  </si>
  <si>
    <t>MI0005821</t>
  </si>
  <si>
    <t>ROSEVILLE APARTMENTS</t>
  </si>
  <si>
    <t>MI0005823</t>
  </si>
  <si>
    <t>ROSEBUSH ESTATES APARTMENTS</t>
  </si>
  <si>
    <t>MI0005841</t>
  </si>
  <si>
    <t>ROYAL VIEW RETIREMENT VILLAGE</t>
  </si>
  <si>
    <t>MI0005844</t>
  </si>
  <si>
    <t>RUDYARD TOWNSHIP</t>
  </si>
  <si>
    <t>MI0005849</t>
  </si>
  <si>
    <t>SADDLE RIDGE CONDO ASSOC.</t>
  </si>
  <si>
    <t>MI0005860</t>
  </si>
  <si>
    <t>SAGINAW CHARTER TOWNSHIP</t>
  </si>
  <si>
    <t>MI0005901</t>
  </si>
  <si>
    <t>SALINE VALLEY FARMS</t>
  </si>
  <si>
    <t>MI0040490</t>
  </si>
  <si>
    <t>PROSPECT MANOR MHC</t>
  </si>
  <si>
    <t>MI0005903</t>
  </si>
  <si>
    <t>SAND BEACH TOWNSHIP</t>
  </si>
  <si>
    <t>MI0040456</t>
  </si>
  <si>
    <t>QUIET COVE TRAILER PARK</t>
  </si>
  <si>
    <t>MI0005905</t>
  </si>
  <si>
    <t>SANDHILL MANOR</t>
  </si>
  <si>
    <t>MI0005907</t>
  </si>
  <si>
    <t>SAND LAKE</t>
  </si>
  <si>
    <t>MI0040021</t>
  </si>
  <si>
    <t>RABBIT RIVER ESTATES</t>
  </si>
  <si>
    <t>MI0005920</t>
  </si>
  <si>
    <t>SANDUSKY, CITY OF</t>
  </si>
  <si>
    <t>MI0005925</t>
  </si>
  <si>
    <t>SANILAC TOWNSHIP</t>
  </si>
  <si>
    <t>MI0006070</t>
  </si>
  <si>
    <t>SHOREWOOD HILLS SUBDIVISION</t>
  </si>
  <si>
    <t>MI0005990</t>
  </si>
  <si>
    <t>SEBEWAING LIGHT &amp; WATER</t>
  </si>
  <si>
    <t>MI0067101</t>
  </si>
  <si>
    <t>REGENCY AT WHITMORE LAKE</t>
  </si>
  <si>
    <t>MI0005991</t>
  </si>
  <si>
    <t>SENEY TOWNSHIP</t>
  </si>
  <si>
    <t>MI0005995</t>
  </si>
  <si>
    <t>SHANTY CREEK - WATARS ASSOCIATION</t>
  </si>
  <si>
    <t>MI0006010</t>
  </si>
  <si>
    <t>SHELBY TOWNSHIP</t>
  </si>
  <si>
    <t>MI0006350</t>
  </si>
  <si>
    <t>STANDISH, CITY OF</t>
  </si>
  <si>
    <t>MI0040671</t>
  </si>
  <si>
    <t>RIDGEWOOD MOBILE HOME PARK INC</t>
  </si>
  <si>
    <t>MI0040663</t>
  </si>
  <si>
    <t>RIVER RIDGE - SALINE</t>
  </si>
  <si>
    <t>MI0006042</t>
  </si>
  <si>
    <t>SHERWOOD SHORES CONDOMINIUMS</t>
  </si>
  <si>
    <t>MI0040515</t>
  </si>
  <si>
    <t>RIVERSBEND MOBILE HOME PARK</t>
  </si>
  <si>
    <t>MI0006071</t>
  </si>
  <si>
    <t>SILVER LAKE WATER AUTHORITY, INC.</t>
  </si>
  <si>
    <t>MI0040030</t>
  </si>
  <si>
    <t>RIVERSIDE ESTATES</t>
  </si>
  <si>
    <t>MI0006072</t>
  </si>
  <si>
    <t>VICINIA GARDENS</t>
  </si>
  <si>
    <t>MI0040065</t>
  </si>
  <si>
    <t>MI0006073</t>
  </si>
  <si>
    <t>SIMS-WHITNEY UTILITIES AUTH.</t>
  </si>
  <si>
    <t>MI0006074</t>
  </si>
  <si>
    <t>SISTERS OF MARY, MOTHER OF EUCHARIST</t>
  </si>
  <si>
    <t>MI0040191</t>
  </si>
  <si>
    <t>RIVERVIEW ESTATES</t>
  </si>
  <si>
    <t>MI0040288</t>
  </si>
  <si>
    <t>RIVERVIEW MOBILE VILLAGE</t>
  </si>
  <si>
    <t>MI0006075</t>
  </si>
  <si>
    <t>SKANDIA-WEST BRANCH WATER DEPT</t>
  </si>
  <si>
    <t>MI0005712</t>
  </si>
  <si>
    <t>RIVERWALK DEVELOPMENT</t>
  </si>
  <si>
    <t>MI0006079</t>
  </si>
  <si>
    <t>SODUS TOWNSHIP</t>
  </si>
  <si>
    <t>MI0006081</t>
  </si>
  <si>
    <t>SOMMERSET WATER WORKS, INC.</t>
  </si>
  <si>
    <t>MI0006115</t>
  </si>
  <si>
    <t>SOUTH POINTE I APARTMENTS</t>
  </si>
  <si>
    <t>MI0006116</t>
  </si>
  <si>
    <t>SOUTH POINTE II APARTMENTS</t>
  </si>
  <si>
    <t>MI0006117</t>
  </si>
  <si>
    <t>SOUTH POINTE III APARTMENTS</t>
  </si>
  <si>
    <t>MI0006120</t>
  </si>
  <si>
    <t>SOUTH RANGE</t>
  </si>
  <si>
    <t>MI0006130</t>
  </si>
  <si>
    <t>SOUTH ROCKWOOD</t>
  </si>
  <si>
    <t>MI0006210</t>
  </si>
  <si>
    <t>SPAULDING TOWNSHIP</t>
  </si>
  <si>
    <t>MI0006232</t>
  </si>
  <si>
    <t>SPRING LAKE CLUB CONDOMINIUMS</t>
  </si>
  <si>
    <t>MI0006250</t>
  </si>
  <si>
    <t>SPRINGPORT</t>
  </si>
  <si>
    <t>MI0005824</t>
  </si>
  <si>
    <t>ROSEBUSH MANOR</t>
  </si>
  <si>
    <t>MI0040307</t>
  </si>
  <si>
    <t>ROUND LAKE ESTATES</t>
  </si>
  <si>
    <t>MI0004800</t>
  </si>
  <si>
    <t>UPPER MICHIGAN WATER COMPANY</t>
  </si>
  <si>
    <t>MI0040255</t>
  </si>
  <si>
    <t>ROYAL ESTATES</t>
  </si>
  <si>
    <t>MI0006325</t>
  </si>
  <si>
    <t>ST. LOUIS CENTER</t>
  </si>
  <si>
    <t>MI0006370</t>
  </si>
  <si>
    <t>SPSM</t>
  </si>
  <si>
    <t>MI0040345</t>
  </si>
  <si>
    <t>RUMBAUGH ESTATES LLC</t>
  </si>
  <si>
    <t>MI0006380</t>
  </si>
  <si>
    <t>STEPHENSON</t>
  </si>
  <si>
    <t>MI0040495</t>
  </si>
  <si>
    <t>RUSH LAKE MHP/CAMPGROUND</t>
  </si>
  <si>
    <t>MI0040104</t>
  </si>
  <si>
    <t>RUSTIC ACRES PARK</t>
  </si>
  <si>
    <t>MI0006423</t>
  </si>
  <si>
    <t>STONE RIDGE</t>
  </si>
  <si>
    <t>MI0006428</t>
  </si>
  <si>
    <t>STONEHEDGE CLUB OWNERS ASSOCIATION, INC.</t>
  </si>
  <si>
    <t>MI0006446</t>
  </si>
  <si>
    <t>SUGAR LOAF TOWNHOUSES</t>
  </si>
  <si>
    <t>MI0006448</t>
  </si>
  <si>
    <t>SUMMERSET MEADOWS</t>
  </si>
  <si>
    <t>MI0006450</t>
  </si>
  <si>
    <t>SUMMIT TOWNSHIP</t>
  </si>
  <si>
    <t>MI0006470</t>
  </si>
  <si>
    <t>SUNFIELD, VILLAGE OF</t>
  </si>
  <si>
    <t>MI0006480</t>
  </si>
  <si>
    <t>SUNNYDALE GARDENS WATER ASSOCIATION</t>
  </si>
  <si>
    <t>MI0040592</t>
  </si>
  <si>
    <t>SANDHILL ESTATES</t>
  </si>
  <si>
    <t>MI0006484</t>
  </si>
  <si>
    <t>SUNSET BEACH ASSOCIATION</t>
  </si>
  <si>
    <t>MI0040447</t>
  </si>
  <si>
    <t>SANDPIPER ESTATES</t>
  </si>
  <si>
    <t>MI0006490</t>
  </si>
  <si>
    <t>MI0006502</t>
  </si>
  <si>
    <t>SWAN CREEK TOWNSHIP</t>
  </si>
  <si>
    <t>MI0005911</t>
  </si>
  <si>
    <t>SANDY PINES</t>
  </si>
  <si>
    <t>MI0006505</t>
  </si>
  <si>
    <t>SWARTZ CREEK, CITY OF</t>
  </si>
  <si>
    <t>MI0040013</t>
  </si>
  <si>
    <t>SAPPHIRE ESTATES MOBILE HOME PARK</t>
  </si>
  <si>
    <t>MI0006508</t>
  </si>
  <si>
    <t>SWIFT LAKE FARMS</t>
  </si>
  <si>
    <t>MI0040575</t>
  </si>
  <si>
    <t>SASHABAW MEADOWS MHP</t>
  </si>
  <si>
    <t>MI0006531</t>
  </si>
  <si>
    <t>SYLVAN TOWNSHIP</t>
  </si>
  <si>
    <t>MI0006532</t>
  </si>
  <si>
    <t>TALL OAKS CONDOMINUMS</t>
  </si>
  <si>
    <t>MI0006537</t>
  </si>
  <si>
    <t>TANNERY CREEK CONDOMINUM ASSOCIATION</t>
  </si>
  <si>
    <t>MI0006552</t>
  </si>
  <si>
    <t>TAYMOUTH TOWNSHIP</t>
  </si>
  <si>
    <t>MI0040168</t>
  </si>
  <si>
    <t>SECORD LAKE MHP</t>
  </si>
  <si>
    <t>MI0006562</t>
  </si>
  <si>
    <t>TEKONSHA</t>
  </si>
  <si>
    <t>MI0040024</t>
  </si>
  <si>
    <t>SELKIRK LAKE MOBILE HOME PARK</t>
  </si>
  <si>
    <t>MI0006569</t>
  </si>
  <si>
    <t>THE LIGHTHOUSE-TRAVERSE CITY LLC</t>
  </si>
  <si>
    <t>MI0040025</t>
  </si>
  <si>
    <t>SHADY ACRES COMMUNITY, LLC</t>
  </si>
  <si>
    <t>MI0006571</t>
  </si>
  <si>
    <t>THE BLUFFS AT GULL LAKE</t>
  </si>
  <si>
    <t>MI0040496</t>
  </si>
  <si>
    <t>SHADY BROOK MOBILE HOME PARK</t>
  </si>
  <si>
    <t>MI0006574</t>
  </si>
  <si>
    <t>THE SHORES ON CROOKED LAKE</t>
  </si>
  <si>
    <t>MI0040026</t>
  </si>
  <si>
    <t>SHANGRAI-LA VILLAGE</t>
  </si>
  <si>
    <t>MI0006575</t>
  </si>
  <si>
    <t>SUGARTREE APARTMENTS</t>
  </si>
  <si>
    <t>MI0006580</t>
  </si>
  <si>
    <t>THOMAS TOWNSHIP</t>
  </si>
  <si>
    <t>MI0007130</t>
  </si>
  <si>
    <t>WINDWARD OWNERS ASSOCIATION</t>
  </si>
  <si>
    <t>MI0006592</t>
  </si>
  <si>
    <t>THORN CREEK CONDOMINIUMS</t>
  </si>
  <si>
    <t>MI0040351</t>
  </si>
  <si>
    <t>SHERIDAN ESTATES</t>
  </si>
  <si>
    <t>MI0040242</t>
  </si>
  <si>
    <t>SHERMAN OAKS</t>
  </si>
  <si>
    <t>MI0006690</t>
  </si>
  <si>
    <t>TROY</t>
  </si>
  <si>
    <t>MI0006696</t>
  </si>
  <si>
    <t>TWIN LAKES SUBDIVISION</t>
  </si>
  <si>
    <t>MI0040519</t>
  </si>
  <si>
    <t>SILVER CREEK ESTATES MOBILE HOME COURT</t>
  </si>
  <si>
    <t>MI0006730</t>
  </si>
  <si>
    <t>UNIONVILLE, VILLAGE OF</t>
  </si>
  <si>
    <t>MI0040322</t>
  </si>
  <si>
    <t>SILVER LAKE MOBILE HOME PARK</t>
  </si>
  <si>
    <t>MI0040175</t>
  </si>
  <si>
    <t>SILVER LAKE VIEW MOBILE HOME PARK</t>
  </si>
  <si>
    <t>MI0006763</t>
  </si>
  <si>
    <t>VALLEY SIDE APARTMENTS</t>
  </si>
  <si>
    <t>MI0006765</t>
  </si>
  <si>
    <t>VALLEYWOOD COVE CONDOMINIUM ASSOCIATION</t>
  </si>
  <si>
    <t>MI0040176</t>
  </si>
  <si>
    <t>SILVER SHORES MOBILE HOME PARK</t>
  </si>
  <si>
    <t>MI0006790</t>
  </si>
  <si>
    <t>VERMONTVILLE, VILLAGE OF</t>
  </si>
  <si>
    <t>MI0006792</t>
  </si>
  <si>
    <t>V F W NATIONAL HOME</t>
  </si>
  <si>
    <t>MI0040184</t>
  </si>
  <si>
    <t>SOMERSET CENTRE ESTATES</t>
  </si>
  <si>
    <t>MI0006803</t>
  </si>
  <si>
    <t>VILLA NOUVA ASSOCIATION</t>
  </si>
  <si>
    <t>MI0040076</t>
  </si>
  <si>
    <t>SOMERSET MOBILE HOME PARK</t>
  </si>
  <si>
    <t>MI0006820</t>
  </si>
  <si>
    <t>WOODLAND CENTER CORRECTIONAL FACILITY</t>
  </si>
  <si>
    <t>MI0006875</t>
  </si>
  <si>
    <t>WALLED LAKE, CITY OF</t>
  </si>
  <si>
    <t>MI0006080</t>
  </si>
  <si>
    <t>SOUTH BLOOMFIELD HIGHLANDS</t>
  </si>
  <si>
    <t>MI0006880</t>
  </si>
  <si>
    <t>WALLOON LAKE WATER SYSTEM</t>
  </si>
  <si>
    <t>MI0006885</t>
  </si>
  <si>
    <t>WALNUT LANE APARTMENTS</t>
  </si>
  <si>
    <t>MI0006905</t>
  </si>
  <si>
    <t>WASHINGTON TOWNSHIP</t>
  </si>
  <si>
    <t>MI0006960</t>
  </si>
  <si>
    <t>WEBBER TOWNSHIP</t>
  </si>
  <si>
    <t>MI0006971</t>
  </si>
  <si>
    <t>WEDGEWOOD GOLFSIDE CONDO ASSOC</t>
  </si>
  <si>
    <t>MI0007012</t>
  </si>
  <si>
    <t>WEST BRANCH TOWNSHIP</t>
  </si>
  <si>
    <t>MI0007057</t>
  </si>
  <si>
    <t>WEST TRAVERSE TOWNSHIP</t>
  </si>
  <si>
    <t>MI0040060</t>
  </si>
  <si>
    <t>SOUTHTOWN MHP</t>
  </si>
  <si>
    <t>MI0007061</t>
  </si>
  <si>
    <t>WHITE EAGLE SUBDIVISION</t>
  </si>
  <si>
    <t>MI0007062</t>
  </si>
  <si>
    <t>WHITE DEER VILLAGE</t>
  </si>
  <si>
    <t>MI0007063</t>
  </si>
  <si>
    <t>WHITEFORD TOWNSHIP</t>
  </si>
  <si>
    <t>MI0007064</t>
  </si>
  <si>
    <t>WHITE LAKE ASSISTED LIVING CENTER</t>
  </si>
  <si>
    <t>MI0007065</t>
  </si>
  <si>
    <t>WHITE LAKE TOWNSHIP</t>
  </si>
  <si>
    <t>MI0006235</t>
  </si>
  <si>
    <t>SPRING LAKE TOWNSHIP</t>
  </si>
  <si>
    <t>MI0007067</t>
  </si>
  <si>
    <t>WHITE OAKS CONDOMINIUMS</t>
  </si>
  <si>
    <t>MI0007085</t>
  </si>
  <si>
    <t>T.J. WHITE PINE MANOR APARTMENTS</t>
  </si>
  <si>
    <t>MI0040327</t>
  </si>
  <si>
    <t>SPRINGBROOK ESTATES MHC</t>
  </si>
  <si>
    <t>MI0006240</t>
  </si>
  <si>
    <t>SPRINGFIELD</t>
  </si>
  <si>
    <t>MI0007101</t>
  </si>
  <si>
    <t>WHITMORE LAKE APARTMENTS</t>
  </si>
  <si>
    <t>MI0040397</t>
  </si>
  <si>
    <t>SPRINGROVE MHC</t>
  </si>
  <si>
    <t>MI0007104</t>
  </si>
  <si>
    <t>WHITTEMORE SQUARE APARTMENTS</t>
  </si>
  <si>
    <t>MI0007125</t>
  </si>
  <si>
    <t>WILLIAMS TOWNSHIP</t>
  </si>
  <si>
    <t>MI0007126</t>
  </si>
  <si>
    <t>WINDJAMMER COVE CONDOMINIUMS</t>
  </si>
  <si>
    <t>MI0007134</t>
  </si>
  <si>
    <t>WISNER AREA WATER SYSTEM</t>
  </si>
  <si>
    <t>MI0006682</t>
  </si>
  <si>
    <t>TROUT CREEK CONDOMINIUMS</t>
  </si>
  <si>
    <t>MI0007180</t>
  </si>
  <si>
    <t>WOODHAVEN</t>
  </si>
  <si>
    <t>MI0007182</t>
  </si>
  <si>
    <t>WOODLAND PARK APARTMENTS</t>
  </si>
  <si>
    <t>MI0040323</t>
  </si>
  <si>
    <t>STARLIGHT MOBILE HOME PARK</t>
  </si>
  <si>
    <t>MI0040443</t>
  </si>
  <si>
    <t>STODDARD MOBILE HOME COURT</t>
  </si>
  <si>
    <t>MI0040199</t>
  </si>
  <si>
    <t>STONEGATE MOBILE HOME COMMUNITY</t>
  </si>
  <si>
    <t>MI0040007</t>
  </si>
  <si>
    <t>TOPAZ MOBILE HOME PARK</t>
  </si>
  <si>
    <t>MI0040177</t>
  </si>
  <si>
    <t>SUBURBAN ESTATES MHP</t>
  </si>
  <si>
    <t>MI0040256</t>
  </si>
  <si>
    <t>SUGARLOAF MOBILE HOME PARK</t>
  </si>
  <si>
    <t>MI0040187</t>
  </si>
  <si>
    <t>SUMMER WOOD ESTATES</t>
  </si>
  <si>
    <t>MI0006460</t>
  </si>
  <si>
    <t>SUMPTER TOWNSHIP</t>
  </si>
  <si>
    <t>MI0006465</t>
  </si>
  <si>
    <t>SUN MEADOWS APARTMENTS</t>
  </si>
  <si>
    <t>MI0040047</t>
  </si>
  <si>
    <t>THORNAPPLE LAKE ESTATES</t>
  </si>
  <si>
    <t>MI0040466</t>
  </si>
  <si>
    <t>SUNRISE MHP</t>
  </si>
  <si>
    <t>MI0040416</t>
  </si>
  <si>
    <t>SUNSET ESTATES GAYLORD</t>
  </si>
  <si>
    <t>MI0040313</t>
  </si>
  <si>
    <t>SUNSET MHP</t>
  </si>
  <si>
    <t>MI0040449</t>
  </si>
  <si>
    <t>SUNSET MOBILE HOME PARK</t>
  </si>
  <si>
    <t>MI0040662</t>
  </si>
  <si>
    <t>SUNSET RIDGE MHC</t>
  </si>
  <si>
    <t>MI0040653</t>
  </si>
  <si>
    <t>SUNSET SHORES</t>
  </si>
  <si>
    <t>MI0040090</t>
  </si>
  <si>
    <t>TWIN PINES MOBILE HOME PARK</t>
  </si>
  <si>
    <t>MI0040164</t>
  </si>
  <si>
    <t>SWARTZ CREEK MEADOWS</t>
  </si>
  <si>
    <t>MI0040105</t>
  </si>
  <si>
    <t>WHITE PINES MOBILE HOME PARK</t>
  </si>
  <si>
    <t>MI0040314</t>
  </si>
  <si>
    <t>SYLVAN GLEN ESTATES</t>
  </si>
  <si>
    <t>MI0040110</t>
  </si>
  <si>
    <t>TOWN AND COUNTRY MHP</t>
  </si>
  <si>
    <t>MI0040426</t>
  </si>
  <si>
    <t>TALLMADGE MEADOWS</t>
  </si>
  <si>
    <t>MI0040124</t>
  </si>
  <si>
    <t>WINDSOR ESTATES</t>
  </si>
  <si>
    <t>MI0040337</t>
  </si>
  <si>
    <t>TAMARAC VILLAGE</t>
  </si>
  <si>
    <t>MI0040131</t>
  </si>
  <si>
    <t>TRADEWINDS MOBILE HOME PARK</t>
  </si>
  <si>
    <t>MI0060937</t>
  </si>
  <si>
    <t>THE LAURELS OF FULTON</t>
  </si>
  <si>
    <t>MI0005229</t>
  </si>
  <si>
    <t>THE PENINSULA DEVELOPMENT LLC</t>
  </si>
  <si>
    <t>MI0040640</t>
  </si>
  <si>
    <t>THE PINES</t>
  </si>
  <si>
    <t>MI0066695</t>
  </si>
  <si>
    <t>THE PINES OF GOODRICH</t>
  </si>
  <si>
    <t>MI0066700</t>
  </si>
  <si>
    <t>THE PORCHES</t>
  </si>
  <si>
    <t>MI0064934</t>
  </si>
  <si>
    <t>THE VILLA AT ROSE CITY</t>
  </si>
  <si>
    <t>MI0040203</t>
  </si>
  <si>
    <t>WINDMILL PARK</t>
  </si>
  <si>
    <t>MI0060425</t>
  </si>
  <si>
    <t>THORNAPPLE MANOR</t>
  </si>
  <si>
    <t>MI0040497</t>
  </si>
  <si>
    <t>THREE MILE LAKE TRAILER PARK</t>
  </si>
  <si>
    <t>MI0040294</t>
  </si>
  <si>
    <t>WHITE CREEK COUNTRY ESTATES</t>
  </si>
  <si>
    <t>MI0006624</t>
  </si>
  <si>
    <t>TILLICUM FARMS</t>
  </si>
  <si>
    <t>MI0040296</t>
  </si>
  <si>
    <t>WOODLAND ESTATES</t>
  </si>
  <si>
    <t>MI0040574</t>
  </si>
  <si>
    <t>TIMBER COUNTRY MOBILE HOME PARK</t>
  </si>
  <si>
    <t>MI0040363</t>
  </si>
  <si>
    <t>TIMBERLINE ESTATES</t>
  </si>
  <si>
    <t>MI0006647</t>
  </si>
  <si>
    <t>TREETOPS RESORT (TREETOPS NORTH)</t>
  </si>
  <si>
    <t>MI0040325</t>
  </si>
  <si>
    <t>UNIVERSITY MOBILE ESTATES #2</t>
  </si>
  <si>
    <t>MI0006693</t>
  </si>
  <si>
    <t>TULLYMORE CLUBHOUSE AND CAMELOT VILLAGE</t>
  </si>
  <si>
    <t>MI0040330</t>
  </si>
  <si>
    <t>WASHINGTON MHP</t>
  </si>
  <si>
    <t>MI0040410</t>
  </si>
  <si>
    <t>MI0040658</t>
  </si>
  <si>
    <t>TYRONE WOODS</t>
  </si>
  <si>
    <t>MI0040404</t>
  </si>
  <si>
    <t>WOODLANDS MHC</t>
  </si>
  <si>
    <t>MI0040435</t>
  </si>
  <si>
    <t>WHISPERING OAKS MHP</t>
  </si>
  <si>
    <t>MI0040498</t>
  </si>
  <si>
    <t>VIKING RIVER MOBILE HOME PARK</t>
  </si>
  <si>
    <t>MI0060792</t>
  </si>
  <si>
    <t>VILLA AT GREEN LAKE ESTATES</t>
  </si>
  <si>
    <t>MI0007099</t>
  </si>
  <si>
    <t>VILLAGE AT EAGLE GARDENS</t>
  </si>
  <si>
    <t>MI0040477</t>
  </si>
  <si>
    <t>WASHBURN LAKE VILLAGE MHP</t>
  </si>
  <si>
    <t>MI0040480</t>
  </si>
  <si>
    <t>WOOD VALLEY</t>
  </si>
  <si>
    <t>MI0040500</t>
  </si>
  <si>
    <t>WHISPERING PINES ESTATES</t>
  </si>
  <si>
    <t>MI0040501</t>
  </si>
  <si>
    <t>WOLF LAKE MOBILE HOME PARK</t>
  </si>
  <si>
    <t>MI0040561</t>
  </si>
  <si>
    <t>WHITE BIRCH ESTATES</t>
  </si>
  <si>
    <t>MI0006910</t>
  </si>
  <si>
    <t>WATERFORD TOWNSHIP</t>
  </si>
  <si>
    <t>MI0040673</t>
  </si>
  <si>
    <t>WATERS EDGE MH COMMUNITY</t>
  </si>
  <si>
    <t>MI0040576</t>
  </si>
  <si>
    <t>WHISPERING PINES</t>
  </si>
  <si>
    <t>MI0040614</t>
  </si>
  <si>
    <t>WEST OLIVE ESTATES</t>
  </si>
  <si>
    <t>MI0040639</t>
  </si>
  <si>
    <t>WOODS AND FIELDS COMMUNITIES EAST</t>
  </si>
  <si>
    <t>MI0040293</t>
  </si>
  <si>
    <t>WELLERS TRAILER PARK</t>
  </si>
  <si>
    <t>MI0040650</t>
  </si>
  <si>
    <t>WEST PINE ISLAND</t>
  </si>
  <si>
    <t>MI0067020</t>
  </si>
  <si>
    <t>WEST HICKORY HAVEN</t>
  </si>
  <si>
    <t>MI0040669</t>
  </si>
  <si>
    <t>WOODLAND RIDGE</t>
  </si>
  <si>
    <t>MI0007035</t>
  </si>
  <si>
    <t>WESTBROOK APARTMENTS</t>
  </si>
  <si>
    <t>MI0004754</t>
  </si>
  <si>
    <t>WESTERN PINES APARTMENTS</t>
  </si>
  <si>
    <t>MI0007050</t>
  </si>
  <si>
    <t>WESTPHALIA, VILLAGE OF</t>
  </si>
  <si>
    <t>MI0040516</t>
  </si>
  <si>
    <t>WHITE BIRCH MOBILE HOME VILLAGE</t>
  </si>
  <si>
    <t>MI0007185</t>
  </si>
  <si>
    <t>WOODRUFF LAKE CONDOMINIUMS</t>
  </si>
  <si>
    <t>MI0040326</t>
  </si>
  <si>
    <t>WOODLAND PARK AND SALES</t>
  </si>
  <si>
    <t>MI0040455</t>
  </si>
  <si>
    <t>WOODS AND FIELDS COMMUNITIES WEST</t>
  </si>
  <si>
    <t>MI0007186</t>
  </si>
  <si>
    <t>WOODS OF LOCHAVEN</t>
  </si>
  <si>
    <t>MI0003856</t>
  </si>
  <si>
    <t>WORTH TOWNSHIP</t>
  </si>
  <si>
    <t>MI0007210</t>
  </si>
  <si>
    <t>WYANDOTTE</t>
  </si>
  <si>
    <t>MI0007217</t>
  </si>
  <si>
    <t>WYNSTONE SUBDIVISION</t>
  </si>
  <si>
    <t>MI0007220</t>
  </si>
  <si>
    <t>WYOMING</t>
  </si>
  <si>
    <t>MI0007230</t>
  </si>
  <si>
    <t>YALE, CITY OF</t>
  </si>
  <si>
    <t>MI0040585</t>
  </si>
  <si>
    <t>YANKEE SPRINGS MEADOWS</t>
  </si>
  <si>
    <t>MI0007231</t>
  </si>
  <si>
    <t>YANKEE SPRINGS TOWNSHIP</t>
  </si>
  <si>
    <t>MI0007235</t>
  </si>
  <si>
    <t>YODER APARTMENTS</t>
  </si>
  <si>
    <t>MI0007240</t>
  </si>
  <si>
    <t>YORK CONDOMINIUMS</t>
  </si>
  <si>
    <t>MI0007260</t>
  </si>
  <si>
    <t>YPSILANTI COMMUNITY UTILITY AUTHORITY</t>
  </si>
  <si>
    <t>MI0007270</t>
  </si>
  <si>
    <t>ZEELAND BOARD OF PUBLIC WORKS</t>
  </si>
  <si>
    <t>MI0007280</t>
  </si>
  <si>
    <t>ZILWAUKEE, CITY OF</t>
  </si>
  <si>
    <t>Non-lead</t>
  </si>
  <si>
    <t>Total Service Lines</t>
  </si>
  <si>
    <t>-</t>
  </si>
  <si>
    <t>No lead lines identified</t>
  </si>
  <si>
    <t>Category</t>
  </si>
  <si>
    <t>Service Line Status</t>
  </si>
  <si>
    <t>Inventory Not Received or Complete</t>
  </si>
  <si>
    <t>Not in Compliance (&lt;20% replaced)</t>
  </si>
  <si>
    <t>NA</t>
  </si>
  <si>
    <t>100% replaced</t>
  </si>
  <si>
    <t>Compliant (≥20% replaced)</t>
  </si>
  <si>
    <t>Inventory not received or not complete</t>
  </si>
  <si>
    <t>No retail population/no service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</si>
</sst>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Helvetica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0" borderId="0" xfId="0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1" applyNumberFormat="1" applyFont="1" applyAlignment="1">
      <alignment vertical="top" wrapText="1"/>
    </xf>
    <xf numFmtId="9" fontId="0" fillId="0" borderId="0" xfId="2" applyFont="1" applyAlignment="1">
      <alignment vertical="top"/>
    </xf>
    <xf numFmtId="9" fontId="0" fillId="0" borderId="0" xfId="2" applyFont="1"/>
    <xf numFmtId="0" fontId="2" fillId="0" borderId="0" xfId="0" applyFont="1"/>
    <xf numFmtId="0" fontId="3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16"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3" formatCode="0%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AD953-05FD-490D-B3F1-4E59253A6C29}" name="Table2" displayName="Table2" ref="A1:R1384" totalsRowShown="0" headerRowDxfId="15">
  <autoFilter ref="A1:R1384" xr:uid="{D59AD953-05FD-490D-B3F1-4E59253A6C29}"/>
  <tableColumns count="18">
    <tableColumn id="1" xr3:uid="{40D252D4-2E54-44FE-B012-55CDB26A8D98}" name="PWSID"/>
    <tableColumn id="2" xr3:uid="{C59EAB1F-F0EB-4598-9821-BC3DE200F125}" name="Supply Name"/>
    <tableColumn id="3" xr3:uid="{E23288D9-34A9-4FB3-A079-C69FB5699488}" name="Population Served (2025)" dataDxfId="14" dataCellStyle="Comma"/>
    <tableColumn id="4" xr3:uid="{8B061DA1-3D58-4FF0-9DE7-343C4AEF8196}" name="2021" dataDxfId="13" dataCellStyle="Comma"/>
    <tableColumn id="5" xr3:uid="{F7F78D69-F53B-4BAC-B4B0-17DC6C95EE04}" name="2022" dataDxfId="12" dataCellStyle="Comma"/>
    <tableColumn id="6" xr3:uid="{F416F120-AEDE-4977-8678-5012C25BC3A9}" name="2023" dataDxfId="11" dataCellStyle="Comma"/>
    <tableColumn id="7" xr3:uid="{E6DF0141-C3D4-4DB0-A67B-FB73150863AE}" name="2024" dataDxfId="10" dataCellStyle="Comma"/>
    <tableColumn id="8" xr3:uid="{35702FB5-4D52-4B94-9389-D17B7F7A1C14}" name="Grand Total of Lead Service Lines Replaced" dataDxfId="9" dataCellStyle="Comma"/>
    <tableColumn id="9" xr3:uid="{FEEB9627-B820-48E3-B82B-B507AE35F126}" name="Lead in CDSMI" dataDxfId="8" dataCellStyle="Comma"/>
    <tableColumn id="10" xr3:uid="{64E9045C-AFA2-486E-AAF8-949A6C98BF2C}" name="GPCL in CDSMI" dataDxfId="7" dataCellStyle="Comma"/>
    <tableColumn id="11" xr3:uid="{907A0947-46CA-4709-828D-2A76D029C22A}" name="Unknown in CDSMI" dataDxfId="6" dataCellStyle="Comma"/>
    <tableColumn id="12" xr3:uid="{9FD94745-3708-4D6A-BDF8-75605EB494BB}" name="Total to be identified or replaced" dataDxfId="5" dataCellStyle="Comma"/>
    <tableColumn id="13" xr3:uid="{AB46DF7B-1FE2-4A62-A027-F4342F778A51}" name="% Replaced to Date" dataDxfId="4" dataCellStyle="Percent">
      <calculatedColumnFormula>(Table2[[#This Row],[Grand Total of Lead Service Lines Replaced]]/(Table2[[#This Row],[Total to be identified or replaced]]+Table2[[#This Row],[Grand Total of Lead Service Lines Replaced]]))</calculatedColumnFormula>
    </tableColumn>
    <tableColumn id="14" xr3:uid="{4CF33229-0639-459C-A595-A20983687703}" name="Non-lead" dataDxfId="3" dataCellStyle="Comma"/>
    <tableColumn id="15" xr3:uid="{4DFC04AD-7DE5-4A79-916F-C58E03AE45B6}" name="Total Service Lines" dataDxfId="2" dataCellStyle="Comma"/>
    <tableColumn id="16" xr3:uid="{C53AE8F2-91EF-4CD0-9069-064F8508391B}" name="Most Recent Lead Action Level Exceedance"/>
    <tableColumn id="18" xr3:uid="{2749FA01-BF05-4132-8546-6667ED1235D2}" name="Service Line Status" dataDxfId="1">
      <calculatedColumnFormula>IF(Table2[[#This Row],[Total Service Lines]]=0, "Inventory not received or not complete", IF(Table2[[#This Row],[Non-lead]]=Table2[[#This Row],[Total Service Lines]], "No Lead Lines Identified", "Needs Replacement"))</calculatedColumnFormula>
    </tableColumn>
    <tableColumn id="17" xr3:uid="{CBD051D4-50A5-4836-8B2F-6C29C81405EF}" name="Category" dataDxfId="0" dataCellStyle="Comma">
      <calculatedColumnFormula>IF(Table2[[#This Row],[Non-lead]]=Table2[[#This Row],[Total Service Lines]], "compliant", "non-compliant")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C452-58E7-4F38-B1E0-344AB9097C13}">
  <dimension ref="A1:R1384"/>
  <sheetViews>
    <sheetView tabSelected="1" topLeftCell="A133" workbookViewId="0">
      <selection activeCell="R133" sqref="R133:R1383"/>
    </sheetView>
  </sheetViews>
  <sheetFormatPr defaultRowHeight="15" x14ac:dyDescent="0.25"/>
  <cols>
    <col min="1" max="1" width="10.140625" bestFit="1" customWidth="1"/>
    <col min="2" max="2" width="45.5703125" bestFit="1" customWidth="1"/>
    <col min="3" max="3" width="16.85546875" style="1" customWidth="1"/>
    <col min="4" max="4" width="9.28515625" style="1" customWidth="1"/>
    <col min="5" max="7" width="9.5703125" style="1" customWidth="1"/>
    <col min="8" max="8" width="15.85546875" style="1" customWidth="1"/>
    <col min="9" max="9" width="15.42578125" style="1" customWidth="1"/>
    <col min="10" max="10" width="15.7109375" style="1" customWidth="1"/>
    <col min="11" max="11" width="19.5703125" style="1" customWidth="1"/>
    <col min="12" max="12" width="18.140625" style="1" customWidth="1"/>
    <col min="13" max="13" width="19.85546875" style="6" customWidth="1"/>
    <col min="14" max="14" width="17.85546875" style="1" customWidth="1"/>
    <col min="15" max="15" width="25.28515625" style="1" customWidth="1"/>
    <col min="16" max="16" width="39.7109375" customWidth="1"/>
    <col min="17" max="17" width="28.7109375" customWidth="1"/>
    <col min="18" max="18" width="34" bestFit="1" customWidth="1"/>
  </cols>
  <sheetData>
    <row r="1" spans="1:18" s="2" customFormat="1" ht="4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3" t="s">
        <v>2776</v>
      </c>
      <c r="O1" s="3" t="s">
        <v>2777</v>
      </c>
      <c r="P1" s="2" t="s">
        <v>13</v>
      </c>
      <c r="Q1" s="2" t="s">
        <v>2781</v>
      </c>
      <c r="R1" s="2" t="s">
        <v>2780</v>
      </c>
    </row>
    <row r="2" spans="1:18" x14ac:dyDescent="0.25">
      <c r="A2" t="s">
        <v>17</v>
      </c>
      <c r="B2" t="s">
        <v>18</v>
      </c>
      <c r="C2" s="1">
        <v>128</v>
      </c>
      <c r="I2" s="1">
        <v>0</v>
      </c>
      <c r="J2" s="1">
        <v>0</v>
      </c>
      <c r="K2" s="1">
        <v>0</v>
      </c>
      <c r="L2" s="1">
        <v>0</v>
      </c>
      <c r="M2" s="6" t="s">
        <v>2784</v>
      </c>
      <c r="N2" s="1">
        <v>1</v>
      </c>
      <c r="O2" s="1">
        <v>1</v>
      </c>
      <c r="P2" t="s">
        <v>2778</v>
      </c>
      <c r="Q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" s="1" t="s">
        <v>2779</v>
      </c>
    </row>
    <row r="3" spans="1:18" x14ac:dyDescent="0.25">
      <c r="A3" t="s">
        <v>21</v>
      </c>
      <c r="B3" t="s">
        <v>22</v>
      </c>
      <c r="C3" s="1">
        <v>7068</v>
      </c>
      <c r="I3" s="1">
        <v>0</v>
      </c>
      <c r="J3" s="1">
        <v>0</v>
      </c>
      <c r="K3" s="1">
        <v>0</v>
      </c>
      <c r="L3" s="1">
        <v>0</v>
      </c>
      <c r="M3" s="6" t="s">
        <v>2784</v>
      </c>
      <c r="N3" s="1">
        <v>2431</v>
      </c>
      <c r="O3" s="1">
        <v>2431</v>
      </c>
      <c r="P3" t="s">
        <v>2778</v>
      </c>
      <c r="Q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" s="1" t="s">
        <v>2779</v>
      </c>
    </row>
    <row r="4" spans="1:18" x14ac:dyDescent="0.25">
      <c r="A4" t="s">
        <v>25</v>
      </c>
      <c r="B4" t="s">
        <v>26</v>
      </c>
      <c r="C4" s="1">
        <v>2010</v>
      </c>
      <c r="I4" s="1">
        <v>0</v>
      </c>
      <c r="J4" s="1">
        <v>0</v>
      </c>
      <c r="K4" s="1">
        <v>154</v>
      </c>
      <c r="L4" s="1">
        <v>154</v>
      </c>
      <c r="M4" s="6">
        <f>(Table2[[#This Row],[Grand Total of Lead Service Lines Replaced]]/(Table2[[#This Row],[Total to be identified or replaced]]+Table2[[#This Row],[Grand Total of Lead Service Lines Replaced]]))</f>
        <v>0</v>
      </c>
      <c r="N4" s="1">
        <v>481</v>
      </c>
      <c r="O4" s="1">
        <v>635</v>
      </c>
      <c r="P4" t="s">
        <v>2778</v>
      </c>
      <c r="Q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" s="1" t="s">
        <v>2783</v>
      </c>
    </row>
    <row r="5" spans="1:18" x14ac:dyDescent="0.25">
      <c r="A5" t="s">
        <v>29</v>
      </c>
      <c r="B5" t="s">
        <v>30</v>
      </c>
      <c r="C5" s="1">
        <v>605</v>
      </c>
      <c r="I5" s="1">
        <v>0</v>
      </c>
      <c r="J5" s="1">
        <v>0</v>
      </c>
      <c r="L5" s="1">
        <v>0</v>
      </c>
      <c r="M5" s="6" t="s">
        <v>2784</v>
      </c>
      <c r="N5" s="1">
        <v>118</v>
      </c>
      <c r="O5" s="1">
        <v>152</v>
      </c>
      <c r="P5" t="s">
        <v>2778</v>
      </c>
      <c r="Q5" s="8" t="s">
        <v>2787</v>
      </c>
      <c r="R5" s="1" t="s">
        <v>2782</v>
      </c>
    </row>
    <row r="6" spans="1:18" x14ac:dyDescent="0.25">
      <c r="A6" t="s">
        <v>41</v>
      </c>
      <c r="B6" t="s">
        <v>42</v>
      </c>
      <c r="C6" s="1">
        <v>148</v>
      </c>
      <c r="I6" s="1">
        <v>0</v>
      </c>
      <c r="J6" s="1">
        <v>9</v>
      </c>
      <c r="K6" s="1">
        <v>0</v>
      </c>
      <c r="L6" s="1">
        <v>9</v>
      </c>
      <c r="M6" s="6">
        <f>(Table2[[#This Row],[Grand Total of Lead Service Lines Replaced]]/(Table2[[#This Row],[Total to be identified or replaced]]+Table2[[#This Row],[Grand Total of Lead Service Lines Replaced]]))</f>
        <v>0</v>
      </c>
      <c r="N6" s="1">
        <v>98</v>
      </c>
      <c r="O6" s="1">
        <v>107</v>
      </c>
      <c r="P6" t="s">
        <v>2778</v>
      </c>
      <c r="Q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" s="1" t="s">
        <v>2783</v>
      </c>
    </row>
    <row r="7" spans="1:18" x14ac:dyDescent="0.25">
      <c r="A7" t="s">
        <v>37</v>
      </c>
      <c r="B7" t="s">
        <v>38</v>
      </c>
      <c r="C7" s="1">
        <v>75</v>
      </c>
      <c r="I7" s="1">
        <v>0</v>
      </c>
      <c r="J7" s="1">
        <v>0</v>
      </c>
      <c r="K7" s="1">
        <v>0</v>
      </c>
      <c r="L7" s="1">
        <v>0</v>
      </c>
      <c r="M7" s="6" t="s">
        <v>2784</v>
      </c>
      <c r="N7" s="1">
        <v>1</v>
      </c>
      <c r="O7" s="1">
        <v>1</v>
      </c>
      <c r="P7" t="s">
        <v>2778</v>
      </c>
      <c r="Q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" s="1" t="s">
        <v>2779</v>
      </c>
    </row>
    <row r="8" spans="1:18" x14ac:dyDescent="0.25">
      <c r="A8" t="s">
        <v>97</v>
      </c>
      <c r="B8" t="s">
        <v>98</v>
      </c>
      <c r="C8" s="1">
        <v>100</v>
      </c>
      <c r="K8" s="1">
        <v>38</v>
      </c>
      <c r="L8" s="1">
        <v>38</v>
      </c>
      <c r="M8" s="6">
        <f>(Table2[[#This Row],[Grand Total of Lead Service Lines Replaced]]/(Table2[[#This Row],[Total to be identified or replaced]]+Table2[[#This Row],[Grand Total of Lead Service Lines Replaced]]))</f>
        <v>0</v>
      </c>
      <c r="N8" s="1">
        <v>4</v>
      </c>
      <c r="O8" s="1">
        <v>42</v>
      </c>
      <c r="P8" t="s">
        <v>2778</v>
      </c>
      <c r="Q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" s="1" t="s">
        <v>2783</v>
      </c>
    </row>
    <row r="9" spans="1:18" x14ac:dyDescent="0.25">
      <c r="A9" t="s">
        <v>45</v>
      </c>
      <c r="B9" t="s">
        <v>46</v>
      </c>
      <c r="C9" s="1">
        <v>402</v>
      </c>
      <c r="I9" s="1">
        <v>0</v>
      </c>
      <c r="J9" s="1">
        <v>0</v>
      </c>
      <c r="K9" s="1">
        <v>0</v>
      </c>
      <c r="L9" s="1">
        <v>0</v>
      </c>
      <c r="M9" s="6" t="s">
        <v>2784</v>
      </c>
      <c r="N9" s="1">
        <v>202</v>
      </c>
      <c r="O9" s="1">
        <v>202</v>
      </c>
      <c r="P9" t="s">
        <v>2778</v>
      </c>
      <c r="Q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" s="1" t="s">
        <v>2779</v>
      </c>
    </row>
    <row r="10" spans="1:18" x14ac:dyDescent="0.25">
      <c r="A10" t="s">
        <v>49</v>
      </c>
      <c r="B10" t="s">
        <v>50</v>
      </c>
      <c r="C10" s="1">
        <v>219</v>
      </c>
      <c r="I10" s="1">
        <v>0</v>
      </c>
      <c r="J10" s="1">
        <v>0</v>
      </c>
      <c r="K10" s="1">
        <v>0</v>
      </c>
      <c r="L10" s="1">
        <v>0</v>
      </c>
      <c r="M10" s="6" t="s">
        <v>2784</v>
      </c>
      <c r="N10" s="1">
        <v>98</v>
      </c>
      <c r="O10" s="1">
        <v>98</v>
      </c>
      <c r="P10" t="s">
        <v>2778</v>
      </c>
      <c r="Q1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" s="1" t="s">
        <v>2779</v>
      </c>
    </row>
    <row r="11" spans="1:18" x14ac:dyDescent="0.25">
      <c r="A11" t="s">
        <v>53</v>
      </c>
      <c r="B11" t="s">
        <v>54</v>
      </c>
      <c r="C11" s="1">
        <v>86</v>
      </c>
      <c r="I11" s="1">
        <v>0</v>
      </c>
      <c r="J11" s="1">
        <v>0</v>
      </c>
      <c r="K11" s="1">
        <v>0</v>
      </c>
      <c r="L11" s="1">
        <v>0</v>
      </c>
      <c r="M11" s="6" t="s">
        <v>2784</v>
      </c>
      <c r="N11" s="1">
        <v>45</v>
      </c>
      <c r="O11" s="1">
        <v>45</v>
      </c>
      <c r="P11" t="s">
        <v>2778</v>
      </c>
      <c r="Q1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" s="1" t="s">
        <v>2779</v>
      </c>
    </row>
    <row r="12" spans="1:18" x14ac:dyDescent="0.25">
      <c r="A12" t="s">
        <v>57</v>
      </c>
      <c r="B12" t="s">
        <v>58</v>
      </c>
      <c r="C12" s="1">
        <v>100</v>
      </c>
      <c r="I12" s="1">
        <v>0</v>
      </c>
      <c r="J12" s="1">
        <v>0</v>
      </c>
      <c r="K12" s="1">
        <v>0</v>
      </c>
      <c r="L12" s="1">
        <v>0</v>
      </c>
      <c r="M12" s="6" t="s">
        <v>2784</v>
      </c>
      <c r="N12" s="1">
        <v>3</v>
      </c>
      <c r="O12" s="1">
        <v>3</v>
      </c>
      <c r="P12" t="s">
        <v>2778</v>
      </c>
      <c r="Q1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" s="1" t="s">
        <v>2779</v>
      </c>
    </row>
    <row r="13" spans="1:18" x14ac:dyDescent="0.25">
      <c r="A13" t="s">
        <v>61</v>
      </c>
      <c r="B13" t="s">
        <v>62</v>
      </c>
      <c r="C13" s="1">
        <v>41</v>
      </c>
      <c r="I13" s="1">
        <v>0</v>
      </c>
      <c r="J13" s="1">
        <v>0</v>
      </c>
      <c r="K13" s="1">
        <v>0</v>
      </c>
      <c r="L13" s="1">
        <v>0</v>
      </c>
      <c r="M13" s="6" t="s">
        <v>2784</v>
      </c>
      <c r="N13" s="1">
        <v>157</v>
      </c>
      <c r="O13" s="1">
        <v>157</v>
      </c>
      <c r="P13" t="s">
        <v>2778</v>
      </c>
      <c r="Q1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" s="1" t="s">
        <v>2779</v>
      </c>
    </row>
    <row r="14" spans="1:18" x14ac:dyDescent="0.25">
      <c r="A14" t="s">
        <v>65</v>
      </c>
      <c r="B14" t="s">
        <v>66</v>
      </c>
      <c r="C14" s="1">
        <v>350</v>
      </c>
      <c r="I14" s="1">
        <v>0</v>
      </c>
      <c r="J14" s="1">
        <v>0</v>
      </c>
      <c r="K14" s="1">
        <v>0</v>
      </c>
      <c r="L14" s="1">
        <v>0</v>
      </c>
      <c r="M14" s="6" t="s">
        <v>2784</v>
      </c>
      <c r="N14" s="1">
        <v>157</v>
      </c>
      <c r="O14" s="1">
        <v>157</v>
      </c>
      <c r="P14" t="s">
        <v>2778</v>
      </c>
      <c r="Q1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4" s="1" t="s">
        <v>2779</v>
      </c>
    </row>
    <row r="15" spans="1:18" x14ac:dyDescent="0.25">
      <c r="A15" t="s">
        <v>69</v>
      </c>
      <c r="B15" t="s">
        <v>70</v>
      </c>
      <c r="C15" s="1">
        <v>50</v>
      </c>
      <c r="J15" s="1">
        <v>0</v>
      </c>
      <c r="K15" s="1">
        <v>0</v>
      </c>
      <c r="L15" s="1">
        <v>0</v>
      </c>
      <c r="M15" s="6" t="s">
        <v>2784</v>
      </c>
      <c r="N15" s="1">
        <v>20</v>
      </c>
      <c r="O15" s="1">
        <v>20</v>
      </c>
      <c r="P15" t="s">
        <v>2778</v>
      </c>
      <c r="Q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5" s="1" t="s">
        <v>2779</v>
      </c>
    </row>
    <row r="16" spans="1:18" x14ac:dyDescent="0.25">
      <c r="A16" t="s">
        <v>73</v>
      </c>
      <c r="B16" t="s">
        <v>74</v>
      </c>
      <c r="C16" s="1">
        <v>411</v>
      </c>
      <c r="J16" s="1">
        <v>0</v>
      </c>
      <c r="K16" s="1">
        <v>0</v>
      </c>
      <c r="L16" s="1">
        <v>0</v>
      </c>
      <c r="M16" s="6" t="s">
        <v>2784</v>
      </c>
      <c r="N16" s="1">
        <v>203</v>
      </c>
      <c r="O16" s="1">
        <v>203</v>
      </c>
      <c r="P16" t="s">
        <v>2778</v>
      </c>
      <c r="Q1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6" s="1" t="s">
        <v>2779</v>
      </c>
    </row>
    <row r="17" spans="1:18" x14ac:dyDescent="0.25">
      <c r="A17" t="s">
        <v>177</v>
      </c>
      <c r="B17" t="s">
        <v>178</v>
      </c>
      <c r="C17" s="1">
        <v>60</v>
      </c>
      <c r="I17" s="1">
        <v>0</v>
      </c>
      <c r="J17" s="1">
        <v>0</v>
      </c>
      <c r="K17" s="1">
        <v>2</v>
      </c>
      <c r="L17" s="1">
        <v>2</v>
      </c>
      <c r="M17" s="6">
        <f>(Table2[[#This Row],[Grand Total of Lead Service Lines Replaced]]/(Table2[[#This Row],[Total to be identified or replaced]]+Table2[[#This Row],[Grand Total of Lead Service Lines Replaced]]))</f>
        <v>0</v>
      </c>
      <c r="N17" s="1">
        <v>0</v>
      </c>
      <c r="O17" s="1">
        <v>2</v>
      </c>
      <c r="P17" t="s">
        <v>2778</v>
      </c>
      <c r="Q1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7" s="1" t="s">
        <v>2783</v>
      </c>
    </row>
    <row r="18" spans="1:18" x14ac:dyDescent="0.25">
      <c r="A18" t="s">
        <v>81</v>
      </c>
      <c r="B18" t="s">
        <v>82</v>
      </c>
      <c r="C18" s="1">
        <v>580</v>
      </c>
      <c r="I18" s="1">
        <v>0</v>
      </c>
      <c r="J18" s="1">
        <v>0</v>
      </c>
      <c r="K18" s="1">
        <v>0</v>
      </c>
      <c r="L18" s="1">
        <v>0</v>
      </c>
      <c r="M18" s="6" t="s">
        <v>2784</v>
      </c>
      <c r="N18" s="1">
        <v>343</v>
      </c>
      <c r="O18" s="1">
        <v>343</v>
      </c>
      <c r="P18" t="s">
        <v>2778</v>
      </c>
      <c r="Q1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8" s="1" t="s">
        <v>2779</v>
      </c>
    </row>
    <row r="19" spans="1:18" x14ac:dyDescent="0.25">
      <c r="A19" t="s">
        <v>215</v>
      </c>
      <c r="B19" t="s">
        <v>216</v>
      </c>
      <c r="C19" s="1">
        <v>2087</v>
      </c>
      <c r="I19" s="1">
        <v>0</v>
      </c>
      <c r="J19" s="1">
        <v>0</v>
      </c>
      <c r="K19" s="1">
        <v>757</v>
      </c>
      <c r="L19" s="1">
        <v>757</v>
      </c>
      <c r="M19" s="6">
        <f>(Table2[[#This Row],[Grand Total of Lead Service Lines Replaced]]/(Table2[[#This Row],[Total to be identified or replaced]]+Table2[[#This Row],[Grand Total of Lead Service Lines Replaced]]))</f>
        <v>0</v>
      </c>
      <c r="N19" s="1">
        <v>196</v>
      </c>
      <c r="O19" s="1">
        <v>953</v>
      </c>
      <c r="P19" t="s">
        <v>2778</v>
      </c>
      <c r="Q1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9" s="1" t="s">
        <v>2783</v>
      </c>
    </row>
    <row r="20" spans="1:18" x14ac:dyDescent="0.25">
      <c r="A20" t="s">
        <v>251</v>
      </c>
      <c r="B20" t="s">
        <v>252</v>
      </c>
      <c r="C20" s="1">
        <v>372</v>
      </c>
      <c r="I20" s="1">
        <v>0</v>
      </c>
      <c r="J20" s="1">
        <v>2</v>
      </c>
      <c r="K20" s="1">
        <v>0</v>
      </c>
      <c r="L20" s="1">
        <v>2</v>
      </c>
      <c r="M20" s="6">
        <f>(Table2[[#This Row],[Grand Total of Lead Service Lines Replaced]]/(Table2[[#This Row],[Total to be identified or replaced]]+Table2[[#This Row],[Grand Total of Lead Service Lines Replaced]]))</f>
        <v>0</v>
      </c>
      <c r="N20" s="1">
        <v>21</v>
      </c>
      <c r="O20" s="1">
        <v>23</v>
      </c>
      <c r="P20" t="s">
        <v>2778</v>
      </c>
      <c r="Q2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0" s="1" t="s">
        <v>2783</v>
      </c>
    </row>
    <row r="21" spans="1:18" x14ac:dyDescent="0.25">
      <c r="A21" t="s">
        <v>93</v>
      </c>
      <c r="B21" t="s">
        <v>94</v>
      </c>
      <c r="C21" s="1">
        <v>101</v>
      </c>
      <c r="I21" s="1">
        <v>0</v>
      </c>
      <c r="J21" s="1">
        <v>0</v>
      </c>
      <c r="K21" s="1">
        <v>0</v>
      </c>
      <c r="L21" s="1">
        <v>0</v>
      </c>
      <c r="M21" s="6" t="s">
        <v>2784</v>
      </c>
      <c r="N21" s="1">
        <v>8</v>
      </c>
      <c r="O21" s="1">
        <v>8</v>
      </c>
      <c r="P21" t="s">
        <v>2778</v>
      </c>
      <c r="Q2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1" s="1" t="s">
        <v>2779</v>
      </c>
    </row>
    <row r="22" spans="1:18" x14ac:dyDescent="0.25">
      <c r="A22" t="s">
        <v>267</v>
      </c>
      <c r="B22" t="s">
        <v>268</v>
      </c>
      <c r="C22" s="1">
        <v>616</v>
      </c>
      <c r="K22" s="1">
        <v>71</v>
      </c>
      <c r="L22" s="1">
        <v>71</v>
      </c>
      <c r="M22" s="6">
        <f>(Table2[[#This Row],[Grand Total of Lead Service Lines Replaced]]/(Table2[[#This Row],[Total to be identified or replaced]]+Table2[[#This Row],[Grand Total of Lead Service Lines Replaced]]))</f>
        <v>0</v>
      </c>
      <c r="N22" s="1">
        <v>126</v>
      </c>
      <c r="O22" s="1">
        <v>197</v>
      </c>
      <c r="P22" t="s">
        <v>2778</v>
      </c>
      <c r="Q2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2" s="1" t="s">
        <v>2783</v>
      </c>
    </row>
    <row r="23" spans="1:18" x14ac:dyDescent="0.25">
      <c r="A23" t="s">
        <v>271</v>
      </c>
      <c r="B23" t="s">
        <v>272</v>
      </c>
      <c r="C23" s="1">
        <v>2000</v>
      </c>
      <c r="I23" s="1">
        <v>2</v>
      </c>
      <c r="J23" s="1">
        <v>56</v>
      </c>
      <c r="K23" s="1">
        <v>617</v>
      </c>
      <c r="L23" s="1">
        <v>675</v>
      </c>
      <c r="M23" s="6">
        <f>(Table2[[#This Row],[Grand Total of Lead Service Lines Replaced]]/(Table2[[#This Row],[Total to be identified or replaced]]+Table2[[#This Row],[Grand Total of Lead Service Lines Replaced]]))</f>
        <v>0</v>
      </c>
      <c r="N23" s="1">
        <v>98</v>
      </c>
      <c r="O23" s="1">
        <v>773</v>
      </c>
      <c r="P23" t="s">
        <v>2778</v>
      </c>
      <c r="Q2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3" s="1" t="s">
        <v>2783</v>
      </c>
    </row>
    <row r="24" spans="1:18" x14ac:dyDescent="0.25">
      <c r="A24" t="s">
        <v>105</v>
      </c>
      <c r="B24" t="s">
        <v>106</v>
      </c>
      <c r="C24" s="1">
        <v>19725</v>
      </c>
      <c r="I24" s="1">
        <v>0</v>
      </c>
      <c r="J24" s="1">
        <v>0</v>
      </c>
      <c r="K24" s="1">
        <v>0</v>
      </c>
      <c r="L24" s="1">
        <v>0</v>
      </c>
      <c r="M24" s="6" t="s">
        <v>2784</v>
      </c>
      <c r="N24" s="1">
        <v>3790</v>
      </c>
      <c r="O24" s="1">
        <v>3790</v>
      </c>
      <c r="P24" t="s">
        <v>2778</v>
      </c>
      <c r="Q2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4" s="1" t="s">
        <v>2779</v>
      </c>
    </row>
    <row r="25" spans="1:18" x14ac:dyDescent="0.25">
      <c r="A25" t="s">
        <v>2603</v>
      </c>
      <c r="B25" t="s">
        <v>2604</v>
      </c>
      <c r="C25" s="1">
        <v>492</v>
      </c>
      <c r="I25" s="1">
        <v>0</v>
      </c>
      <c r="J25" s="1">
        <v>0</v>
      </c>
      <c r="K25" s="1">
        <v>3</v>
      </c>
      <c r="L25" s="1">
        <v>3</v>
      </c>
      <c r="M25" s="6" t="s">
        <v>2784</v>
      </c>
      <c r="N25" s="1">
        <v>40</v>
      </c>
      <c r="P25" t="s">
        <v>2778</v>
      </c>
      <c r="Q25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25" s="1" t="s">
        <v>2782</v>
      </c>
    </row>
    <row r="26" spans="1:18" x14ac:dyDescent="0.25">
      <c r="A26" t="s">
        <v>279</v>
      </c>
      <c r="B26" t="s">
        <v>280</v>
      </c>
      <c r="C26" s="1">
        <v>2971</v>
      </c>
      <c r="I26" s="1">
        <v>0</v>
      </c>
      <c r="J26" s="1">
        <v>0</v>
      </c>
      <c r="K26" s="1">
        <v>8</v>
      </c>
      <c r="L26" s="1">
        <v>8</v>
      </c>
      <c r="M26" s="6">
        <f>(Table2[[#This Row],[Grand Total of Lead Service Lines Replaced]]/(Table2[[#This Row],[Total to be identified or replaced]]+Table2[[#This Row],[Grand Total of Lead Service Lines Replaced]]))</f>
        <v>0</v>
      </c>
      <c r="N26" s="1">
        <v>1242</v>
      </c>
      <c r="O26" s="1">
        <v>1250</v>
      </c>
      <c r="P26" t="s">
        <v>2778</v>
      </c>
      <c r="Q2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6" s="1" t="s">
        <v>2783</v>
      </c>
    </row>
    <row r="27" spans="1:18" x14ac:dyDescent="0.25">
      <c r="A27" t="s">
        <v>283</v>
      </c>
      <c r="B27" t="s">
        <v>284</v>
      </c>
      <c r="C27" s="1">
        <v>2182</v>
      </c>
      <c r="I27" s="1">
        <v>0</v>
      </c>
      <c r="J27" s="1">
        <v>0</v>
      </c>
      <c r="K27" s="1">
        <v>92</v>
      </c>
      <c r="L27" s="1">
        <v>92</v>
      </c>
      <c r="M27" s="6">
        <f>(Table2[[#This Row],[Grand Total of Lead Service Lines Replaced]]/(Table2[[#This Row],[Total to be identified or replaced]]+Table2[[#This Row],[Grand Total of Lead Service Lines Replaced]]))</f>
        <v>0</v>
      </c>
      <c r="N27" s="1">
        <v>655</v>
      </c>
      <c r="O27" s="1">
        <v>747</v>
      </c>
      <c r="P27" t="s">
        <v>2778</v>
      </c>
      <c r="Q2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7" s="1" t="s">
        <v>2783</v>
      </c>
    </row>
    <row r="28" spans="1:18" x14ac:dyDescent="0.25">
      <c r="A28" t="s">
        <v>385</v>
      </c>
      <c r="B28" t="s">
        <v>386</v>
      </c>
      <c r="C28" s="1">
        <v>1071</v>
      </c>
      <c r="I28" s="1">
        <v>0</v>
      </c>
      <c r="J28" s="1">
        <v>0</v>
      </c>
      <c r="K28" s="1">
        <v>361</v>
      </c>
      <c r="L28" s="1">
        <v>361</v>
      </c>
      <c r="M28" s="6">
        <f>(Table2[[#This Row],[Grand Total of Lead Service Lines Replaced]]/(Table2[[#This Row],[Total to be identified or replaced]]+Table2[[#This Row],[Grand Total of Lead Service Lines Replaced]]))</f>
        <v>0</v>
      </c>
      <c r="N28" s="1">
        <v>91</v>
      </c>
      <c r="O28" s="1">
        <v>452</v>
      </c>
      <c r="P28" t="s">
        <v>2778</v>
      </c>
      <c r="Q2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8" s="1" t="s">
        <v>2783</v>
      </c>
    </row>
    <row r="29" spans="1:18" x14ac:dyDescent="0.25">
      <c r="A29" t="s">
        <v>125</v>
      </c>
      <c r="B29" t="s">
        <v>126</v>
      </c>
      <c r="C29" s="1">
        <v>250</v>
      </c>
      <c r="I29" s="1">
        <v>0</v>
      </c>
      <c r="J29" s="1">
        <v>0</v>
      </c>
      <c r="K29" s="1">
        <v>0</v>
      </c>
      <c r="L29" s="1">
        <v>0</v>
      </c>
      <c r="M29" s="6" t="s">
        <v>2784</v>
      </c>
      <c r="N29" s="1">
        <v>95</v>
      </c>
      <c r="O29" s="1">
        <v>95</v>
      </c>
      <c r="P29" t="s">
        <v>2778</v>
      </c>
      <c r="Q2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9" s="1" t="s">
        <v>2779</v>
      </c>
    </row>
    <row r="30" spans="1:18" x14ac:dyDescent="0.25">
      <c r="A30" t="s">
        <v>129</v>
      </c>
      <c r="B30" t="s">
        <v>130</v>
      </c>
      <c r="C30" s="1">
        <v>125</v>
      </c>
      <c r="I30" s="1">
        <v>0</v>
      </c>
      <c r="J30" s="1">
        <v>0</v>
      </c>
      <c r="K30" s="1">
        <v>0</v>
      </c>
      <c r="L30" s="1">
        <v>0</v>
      </c>
      <c r="M30" s="6" t="s">
        <v>2784</v>
      </c>
      <c r="N30" s="1">
        <v>49</v>
      </c>
      <c r="O30" s="1">
        <v>49</v>
      </c>
      <c r="P30" t="s">
        <v>2778</v>
      </c>
      <c r="Q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0" s="1" t="s">
        <v>2779</v>
      </c>
    </row>
    <row r="31" spans="1:18" x14ac:dyDescent="0.25">
      <c r="A31" t="s">
        <v>133</v>
      </c>
      <c r="B31" t="s">
        <v>134</v>
      </c>
      <c r="C31" s="1">
        <v>156</v>
      </c>
      <c r="I31" s="1">
        <v>0</v>
      </c>
      <c r="J31" s="1">
        <v>0</v>
      </c>
      <c r="L31" s="1">
        <v>0</v>
      </c>
      <c r="M31" s="6" t="s">
        <v>2784</v>
      </c>
      <c r="N31" s="1">
        <v>289</v>
      </c>
      <c r="O31" s="1">
        <v>289</v>
      </c>
      <c r="P31" t="s">
        <v>2778</v>
      </c>
      <c r="Q3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1" s="1" t="s">
        <v>2779</v>
      </c>
    </row>
    <row r="32" spans="1:18" x14ac:dyDescent="0.25">
      <c r="A32" t="s">
        <v>137</v>
      </c>
      <c r="B32" t="s">
        <v>138</v>
      </c>
      <c r="C32" s="1">
        <v>178</v>
      </c>
      <c r="L32" s="1">
        <v>0</v>
      </c>
      <c r="M32" s="6" t="s">
        <v>2784</v>
      </c>
      <c r="N32" s="1">
        <v>70</v>
      </c>
      <c r="O32" s="1">
        <v>70</v>
      </c>
      <c r="P32" t="s">
        <v>2778</v>
      </c>
      <c r="Q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2" s="1" t="s">
        <v>2779</v>
      </c>
    </row>
    <row r="33" spans="1:18" x14ac:dyDescent="0.25">
      <c r="A33" t="s">
        <v>141</v>
      </c>
      <c r="B33" t="s">
        <v>142</v>
      </c>
      <c r="C33" s="1">
        <v>3000</v>
      </c>
      <c r="I33" s="1">
        <v>0</v>
      </c>
      <c r="J33" s="1">
        <v>0</v>
      </c>
      <c r="K33" s="1">
        <v>0</v>
      </c>
      <c r="L33" s="1">
        <v>0</v>
      </c>
      <c r="M33" s="6" t="s">
        <v>2784</v>
      </c>
      <c r="N33" s="1">
        <v>118</v>
      </c>
      <c r="O33" s="1">
        <v>118</v>
      </c>
      <c r="P33" t="s">
        <v>2778</v>
      </c>
      <c r="Q3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3" s="1" t="s">
        <v>2779</v>
      </c>
    </row>
    <row r="34" spans="1:18" x14ac:dyDescent="0.25">
      <c r="A34" t="s">
        <v>435</v>
      </c>
      <c r="B34" t="s">
        <v>436</v>
      </c>
      <c r="C34" s="1">
        <v>210</v>
      </c>
      <c r="I34" s="1">
        <v>88</v>
      </c>
      <c r="J34" s="1">
        <v>0</v>
      </c>
      <c r="K34" s="1">
        <v>61</v>
      </c>
      <c r="L34" s="1">
        <v>149</v>
      </c>
      <c r="M34" s="6">
        <f>(Table2[[#This Row],[Grand Total of Lead Service Lines Replaced]]/(Table2[[#This Row],[Total to be identified or replaced]]+Table2[[#This Row],[Grand Total of Lead Service Lines Replaced]]))</f>
        <v>0</v>
      </c>
      <c r="N34" s="1">
        <v>0</v>
      </c>
      <c r="O34" s="1">
        <v>149</v>
      </c>
      <c r="P34" t="s">
        <v>2778</v>
      </c>
      <c r="Q3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4" s="1" t="s">
        <v>2783</v>
      </c>
    </row>
    <row r="35" spans="1:18" x14ac:dyDescent="0.25">
      <c r="A35" t="s">
        <v>149</v>
      </c>
      <c r="B35" t="s">
        <v>150</v>
      </c>
      <c r="C35" s="1">
        <v>1338</v>
      </c>
      <c r="I35" s="1">
        <v>0</v>
      </c>
      <c r="J35" s="1">
        <v>0</v>
      </c>
      <c r="K35" s="1">
        <v>0</v>
      </c>
      <c r="L35" s="1">
        <v>0</v>
      </c>
      <c r="M35" s="6" t="s">
        <v>2784</v>
      </c>
      <c r="N35" s="1">
        <v>443</v>
      </c>
      <c r="O35" s="1">
        <v>443</v>
      </c>
      <c r="P35" t="s">
        <v>2778</v>
      </c>
      <c r="Q3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5" s="1" t="s">
        <v>2779</v>
      </c>
    </row>
    <row r="36" spans="1:18" x14ac:dyDescent="0.25">
      <c r="A36" t="s">
        <v>153</v>
      </c>
      <c r="B36" t="s">
        <v>154</v>
      </c>
      <c r="C36" s="1">
        <v>1125</v>
      </c>
      <c r="I36" s="1">
        <v>0</v>
      </c>
      <c r="J36" s="1">
        <v>0</v>
      </c>
      <c r="K36" s="1">
        <v>0</v>
      </c>
      <c r="L36" s="1">
        <v>0</v>
      </c>
      <c r="M36" s="6" t="s">
        <v>2784</v>
      </c>
      <c r="N36" s="1">
        <v>719</v>
      </c>
      <c r="O36" s="1">
        <v>719</v>
      </c>
      <c r="P36" t="s">
        <v>2778</v>
      </c>
      <c r="Q3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6" s="1" t="s">
        <v>2779</v>
      </c>
    </row>
    <row r="37" spans="1:18" x14ac:dyDescent="0.25">
      <c r="A37" t="s">
        <v>157</v>
      </c>
      <c r="B37" t="s">
        <v>158</v>
      </c>
      <c r="C37" s="1">
        <v>125</v>
      </c>
      <c r="I37" s="1">
        <v>0</v>
      </c>
      <c r="J37" s="1">
        <v>0</v>
      </c>
      <c r="K37" s="1">
        <v>0</v>
      </c>
      <c r="L37" s="1">
        <v>0</v>
      </c>
      <c r="M37" s="6" t="s">
        <v>2784</v>
      </c>
      <c r="N37" s="1">
        <v>50</v>
      </c>
      <c r="O37" s="1">
        <v>50</v>
      </c>
      <c r="P37" t="s">
        <v>2778</v>
      </c>
      <c r="Q3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7" s="1" t="s">
        <v>2779</v>
      </c>
    </row>
    <row r="38" spans="1:18" x14ac:dyDescent="0.25">
      <c r="A38" t="s">
        <v>161</v>
      </c>
      <c r="B38" t="s">
        <v>162</v>
      </c>
      <c r="C38" s="1">
        <v>75</v>
      </c>
      <c r="L38" s="1">
        <v>0</v>
      </c>
      <c r="M38" s="6" t="s">
        <v>2784</v>
      </c>
      <c r="N38" s="1">
        <v>31</v>
      </c>
      <c r="O38" s="1">
        <v>31</v>
      </c>
      <c r="P38" t="s">
        <v>2778</v>
      </c>
      <c r="Q3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8" s="1" t="s">
        <v>2779</v>
      </c>
    </row>
    <row r="39" spans="1:18" x14ac:dyDescent="0.25">
      <c r="A39" t="s">
        <v>165</v>
      </c>
      <c r="B39" t="s">
        <v>166</v>
      </c>
      <c r="C39" s="1">
        <v>58</v>
      </c>
      <c r="I39" s="1">
        <v>0</v>
      </c>
      <c r="J39" s="1">
        <v>0</v>
      </c>
      <c r="K39" s="1">
        <v>0</v>
      </c>
      <c r="L39" s="1">
        <v>0</v>
      </c>
      <c r="M39" s="6" t="s">
        <v>2784</v>
      </c>
      <c r="N39" s="1">
        <v>12</v>
      </c>
      <c r="O39" s="1">
        <v>12</v>
      </c>
      <c r="P39">
        <v>2019</v>
      </c>
      <c r="Q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9" s="1" t="s">
        <v>2779</v>
      </c>
    </row>
    <row r="40" spans="1:18" x14ac:dyDescent="0.25">
      <c r="A40" t="s">
        <v>169</v>
      </c>
      <c r="B40" t="s">
        <v>170</v>
      </c>
      <c r="C40" s="1">
        <v>25</v>
      </c>
      <c r="I40" s="1">
        <v>0</v>
      </c>
      <c r="J40" s="1">
        <v>0</v>
      </c>
      <c r="K40" s="1">
        <v>0</v>
      </c>
      <c r="L40" s="1">
        <v>0</v>
      </c>
      <c r="M40" s="6" t="s">
        <v>2784</v>
      </c>
      <c r="N40" s="1">
        <v>14</v>
      </c>
      <c r="O40" s="1">
        <v>14</v>
      </c>
      <c r="P40" t="s">
        <v>2778</v>
      </c>
      <c r="Q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0" s="1" t="s">
        <v>2779</v>
      </c>
    </row>
    <row r="41" spans="1:18" x14ac:dyDescent="0.25">
      <c r="A41" t="s">
        <v>173</v>
      </c>
      <c r="B41" t="s">
        <v>174</v>
      </c>
      <c r="C41" s="1">
        <v>670</v>
      </c>
      <c r="I41" s="1">
        <v>0</v>
      </c>
      <c r="J41" s="1">
        <v>0</v>
      </c>
      <c r="L41" s="1">
        <v>0</v>
      </c>
      <c r="M41" s="6" t="s">
        <v>2784</v>
      </c>
      <c r="N41" s="1">
        <v>268</v>
      </c>
      <c r="O41" s="1">
        <v>268</v>
      </c>
      <c r="P41" t="s">
        <v>2778</v>
      </c>
      <c r="Q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1" s="1" t="s">
        <v>2779</v>
      </c>
    </row>
    <row r="42" spans="1:18" x14ac:dyDescent="0.25">
      <c r="A42" t="s">
        <v>533</v>
      </c>
      <c r="B42" t="s">
        <v>534</v>
      </c>
      <c r="C42" s="1">
        <v>3735</v>
      </c>
      <c r="I42" s="1">
        <v>725</v>
      </c>
      <c r="J42" s="1">
        <v>355</v>
      </c>
      <c r="K42" s="1">
        <v>0</v>
      </c>
      <c r="L42" s="1">
        <v>1080</v>
      </c>
      <c r="M42" s="6">
        <f>(Table2[[#This Row],[Grand Total of Lead Service Lines Replaced]]/(Table2[[#This Row],[Total to be identified or replaced]]+Table2[[#This Row],[Grand Total of Lead Service Lines Replaced]]))</f>
        <v>0</v>
      </c>
      <c r="N42" s="1">
        <v>491</v>
      </c>
      <c r="O42" s="1">
        <v>1571</v>
      </c>
      <c r="P42" t="s">
        <v>2778</v>
      </c>
      <c r="Q4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2" s="1" t="s">
        <v>2783</v>
      </c>
    </row>
    <row r="43" spans="1:18" x14ac:dyDescent="0.25">
      <c r="A43" t="s">
        <v>181</v>
      </c>
      <c r="B43" t="s">
        <v>182</v>
      </c>
      <c r="C43" s="1">
        <v>1650</v>
      </c>
      <c r="I43" s="1">
        <v>0</v>
      </c>
      <c r="J43" s="1">
        <v>0</v>
      </c>
      <c r="K43" s="1">
        <v>0</v>
      </c>
      <c r="L43" s="1">
        <v>0</v>
      </c>
      <c r="M43" s="6" t="s">
        <v>2784</v>
      </c>
      <c r="N43" s="1">
        <v>660</v>
      </c>
      <c r="O43" s="1">
        <v>660</v>
      </c>
      <c r="P43" t="s">
        <v>2778</v>
      </c>
      <c r="Q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3" s="1" t="s">
        <v>2779</v>
      </c>
    </row>
    <row r="44" spans="1:18" x14ac:dyDescent="0.25">
      <c r="A44" t="s">
        <v>551</v>
      </c>
      <c r="B44" t="s">
        <v>552</v>
      </c>
      <c r="C44" s="1">
        <v>1339</v>
      </c>
      <c r="I44" s="1">
        <v>0</v>
      </c>
      <c r="J44" s="1">
        <v>0</v>
      </c>
      <c r="K44" s="1">
        <v>12</v>
      </c>
      <c r="L44" s="1">
        <v>12</v>
      </c>
      <c r="M44" s="6">
        <f>(Table2[[#This Row],[Grand Total of Lead Service Lines Replaced]]/(Table2[[#This Row],[Total to be identified or replaced]]+Table2[[#This Row],[Grand Total of Lead Service Lines Replaced]]))</f>
        <v>0</v>
      </c>
      <c r="N44" s="1">
        <v>598</v>
      </c>
      <c r="O44" s="1">
        <v>610</v>
      </c>
      <c r="P44" t="s">
        <v>2778</v>
      </c>
      <c r="Q4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4" s="1" t="s">
        <v>2783</v>
      </c>
    </row>
    <row r="45" spans="1:18" x14ac:dyDescent="0.25">
      <c r="A45" t="s">
        <v>189</v>
      </c>
      <c r="B45" t="s">
        <v>190</v>
      </c>
      <c r="C45" s="1">
        <v>61</v>
      </c>
      <c r="I45" s="1">
        <v>0</v>
      </c>
      <c r="J45" s="1">
        <v>0</v>
      </c>
      <c r="K45" s="1">
        <v>0</v>
      </c>
      <c r="L45" s="1">
        <v>0</v>
      </c>
      <c r="M45" s="6" t="s">
        <v>2784</v>
      </c>
      <c r="N45" s="1">
        <v>20</v>
      </c>
      <c r="O45" s="1">
        <v>20</v>
      </c>
      <c r="P45" t="s">
        <v>2778</v>
      </c>
      <c r="Q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5" s="1" t="s">
        <v>2779</v>
      </c>
    </row>
    <row r="46" spans="1:18" x14ac:dyDescent="0.25">
      <c r="A46" t="s">
        <v>595</v>
      </c>
      <c r="B46" t="s">
        <v>596</v>
      </c>
      <c r="C46" s="1">
        <v>212</v>
      </c>
      <c r="I46" s="1">
        <v>0</v>
      </c>
      <c r="K46" s="1">
        <v>100</v>
      </c>
      <c r="L46" s="1">
        <v>100</v>
      </c>
      <c r="M46" s="6">
        <f>(Table2[[#This Row],[Grand Total of Lead Service Lines Replaced]]/(Table2[[#This Row],[Total to be identified or replaced]]+Table2[[#This Row],[Grand Total of Lead Service Lines Replaced]]))</f>
        <v>0</v>
      </c>
      <c r="N46" s="1">
        <v>27</v>
      </c>
      <c r="O46" s="1">
        <v>127</v>
      </c>
      <c r="P46" t="s">
        <v>2778</v>
      </c>
      <c r="Q4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6" s="1" t="s">
        <v>2783</v>
      </c>
    </row>
    <row r="47" spans="1:18" x14ac:dyDescent="0.25">
      <c r="A47" t="s">
        <v>197</v>
      </c>
      <c r="B47" t="s">
        <v>198</v>
      </c>
      <c r="C47" s="1">
        <v>526</v>
      </c>
      <c r="I47" s="1">
        <v>0</v>
      </c>
      <c r="J47" s="1">
        <v>0</v>
      </c>
      <c r="K47" s="1">
        <v>0</v>
      </c>
      <c r="L47" s="1">
        <v>0</v>
      </c>
      <c r="M47" s="6" t="s">
        <v>2784</v>
      </c>
      <c r="N47" s="1">
        <v>245</v>
      </c>
      <c r="O47" s="1">
        <v>245</v>
      </c>
      <c r="P47" t="s">
        <v>2778</v>
      </c>
      <c r="Q4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7" s="1" t="s">
        <v>2779</v>
      </c>
    </row>
    <row r="48" spans="1:18" x14ac:dyDescent="0.25">
      <c r="A48" t="s">
        <v>417</v>
      </c>
      <c r="B48" t="s">
        <v>418</v>
      </c>
      <c r="C48" s="1">
        <v>8676</v>
      </c>
      <c r="I48" s="1">
        <v>0</v>
      </c>
      <c r="J48" s="1">
        <v>0</v>
      </c>
      <c r="K48" s="1">
        <v>1637</v>
      </c>
      <c r="L48" s="1">
        <v>1637</v>
      </c>
      <c r="M48" s="6">
        <f>(Table2[[#This Row],[Grand Total of Lead Service Lines Replaced]]/(Table2[[#This Row],[Total to be identified or replaced]]+Table2[[#This Row],[Grand Total of Lead Service Lines Replaced]]))</f>
        <v>0</v>
      </c>
      <c r="N48" s="1">
        <v>1133</v>
      </c>
      <c r="O48" s="1">
        <v>2770</v>
      </c>
      <c r="P48" t="s">
        <v>2778</v>
      </c>
      <c r="Q4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8" s="1" t="s">
        <v>2783</v>
      </c>
    </row>
    <row r="49" spans="1:18" x14ac:dyDescent="0.25">
      <c r="A49" t="s">
        <v>205</v>
      </c>
      <c r="B49" t="s">
        <v>206</v>
      </c>
      <c r="C49" s="1">
        <v>66</v>
      </c>
      <c r="I49" s="1">
        <v>0</v>
      </c>
      <c r="J49" s="1">
        <v>0</v>
      </c>
      <c r="K49" s="1">
        <v>0</v>
      </c>
      <c r="L49" s="1">
        <v>0</v>
      </c>
      <c r="M49" s="6" t="s">
        <v>2784</v>
      </c>
      <c r="N49" s="1">
        <v>38</v>
      </c>
      <c r="O49" s="1">
        <v>38</v>
      </c>
      <c r="P49" t="s">
        <v>2778</v>
      </c>
      <c r="Q4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9" s="1" t="s">
        <v>2779</v>
      </c>
    </row>
    <row r="50" spans="1:18" x14ac:dyDescent="0.25">
      <c r="A50" t="s">
        <v>1170</v>
      </c>
      <c r="B50" t="s">
        <v>1171</v>
      </c>
      <c r="C50" s="1">
        <v>26</v>
      </c>
      <c r="J50" s="1">
        <v>0</v>
      </c>
      <c r="K50" s="1">
        <v>16</v>
      </c>
      <c r="L50" s="1">
        <v>16</v>
      </c>
      <c r="M50" s="6" t="s">
        <v>2784</v>
      </c>
      <c r="N50" s="1">
        <v>16</v>
      </c>
      <c r="P50" t="s">
        <v>2778</v>
      </c>
      <c r="Q50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50" s="1" t="s">
        <v>2782</v>
      </c>
    </row>
    <row r="51" spans="1:18" x14ac:dyDescent="0.25">
      <c r="A51" t="s">
        <v>211</v>
      </c>
      <c r="B51" t="s">
        <v>212</v>
      </c>
      <c r="C51" s="1">
        <v>2370</v>
      </c>
      <c r="I51" s="1">
        <v>0</v>
      </c>
      <c r="J51" s="1">
        <v>0</v>
      </c>
      <c r="K51" s="1">
        <v>0</v>
      </c>
      <c r="L51" s="1">
        <v>0</v>
      </c>
      <c r="M51" s="6" t="s">
        <v>2784</v>
      </c>
      <c r="N51" s="1">
        <v>1340</v>
      </c>
      <c r="O51" s="1">
        <v>1340</v>
      </c>
      <c r="P51" t="s">
        <v>2778</v>
      </c>
      <c r="Q5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1" s="1" t="s">
        <v>2779</v>
      </c>
    </row>
    <row r="52" spans="1:18" x14ac:dyDescent="0.25">
      <c r="A52" t="s">
        <v>623</v>
      </c>
      <c r="B52" t="s">
        <v>624</v>
      </c>
      <c r="C52" s="1">
        <v>828</v>
      </c>
      <c r="I52" s="1">
        <v>0</v>
      </c>
      <c r="J52" s="1">
        <v>0</v>
      </c>
      <c r="K52" s="1">
        <v>272</v>
      </c>
      <c r="L52" s="1">
        <v>272</v>
      </c>
      <c r="M52" s="6">
        <f>(Table2[[#This Row],[Grand Total of Lead Service Lines Replaced]]/(Table2[[#This Row],[Total to be identified or replaced]]+Table2[[#This Row],[Grand Total of Lead Service Lines Replaced]]))</f>
        <v>0</v>
      </c>
      <c r="N52" s="1">
        <v>74</v>
      </c>
      <c r="O52" s="1">
        <v>346</v>
      </c>
      <c r="P52" t="s">
        <v>2778</v>
      </c>
      <c r="Q5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2" s="1" t="s">
        <v>2783</v>
      </c>
    </row>
    <row r="53" spans="1:18" x14ac:dyDescent="0.25">
      <c r="A53" t="s">
        <v>219</v>
      </c>
      <c r="B53" t="s">
        <v>220</v>
      </c>
      <c r="C53" s="1">
        <v>21412</v>
      </c>
      <c r="L53" s="1">
        <v>0</v>
      </c>
      <c r="M53" s="6" t="s">
        <v>2784</v>
      </c>
      <c r="N53" s="1">
        <v>5630</v>
      </c>
      <c r="O53" s="1">
        <v>5630</v>
      </c>
      <c r="P53" t="s">
        <v>2778</v>
      </c>
      <c r="Q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3" s="1" t="s">
        <v>2779</v>
      </c>
    </row>
    <row r="54" spans="1:18" x14ac:dyDescent="0.25">
      <c r="A54" t="s">
        <v>651</v>
      </c>
      <c r="B54" t="s">
        <v>652</v>
      </c>
      <c r="C54" s="1">
        <v>581</v>
      </c>
      <c r="I54" s="1">
        <v>0</v>
      </c>
      <c r="J54" s="1">
        <v>0</v>
      </c>
      <c r="K54" s="1">
        <v>187</v>
      </c>
      <c r="L54" s="1">
        <v>187</v>
      </c>
      <c r="M54" s="6">
        <f>(Table2[[#This Row],[Grand Total of Lead Service Lines Replaced]]/(Table2[[#This Row],[Total to be identified or replaced]]+Table2[[#This Row],[Grand Total of Lead Service Lines Replaced]]))</f>
        <v>0</v>
      </c>
      <c r="N54" s="1">
        <v>49</v>
      </c>
      <c r="O54" s="1">
        <v>236</v>
      </c>
      <c r="P54" t="s">
        <v>2778</v>
      </c>
      <c r="Q5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4" s="1" t="s">
        <v>2783</v>
      </c>
    </row>
    <row r="55" spans="1:18" x14ac:dyDescent="0.25">
      <c r="A55" t="s">
        <v>227</v>
      </c>
      <c r="B55" t="s">
        <v>228</v>
      </c>
      <c r="C55" s="1">
        <v>3907</v>
      </c>
      <c r="I55" s="1">
        <v>0</v>
      </c>
      <c r="J55" s="1">
        <v>0</v>
      </c>
      <c r="K55" s="1">
        <v>0</v>
      </c>
      <c r="L55" s="1">
        <v>0</v>
      </c>
      <c r="M55" s="6" t="s">
        <v>2784</v>
      </c>
      <c r="N55" s="1">
        <v>1537</v>
      </c>
      <c r="O55" s="1">
        <v>1537</v>
      </c>
      <c r="P55" t="s">
        <v>2778</v>
      </c>
      <c r="Q5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5" s="1" t="s">
        <v>2779</v>
      </c>
    </row>
    <row r="56" spans="1:18" x14ac:dyDescent="0.25">
      <c r="A56" t="s">
        <v>231</v>
      </c>
      <c r="B56" t="s">
        <v>232</v>
      </c>
      <c r="C56" s="1">
        <v>147</v>
      </c>
      <c r="I56" s="1">
        <v>0</v>
      </c>
      <c r="J56" s="1">
        <v>0</v>
      </c>
      <c r="K56" s="1">
        <v>0</v>
      </c>
      <c r="L56" s="1">
        <v>0</v>
      </c>
      <c r="M56" s="6" t="s">
        <v>2784</v>
      </c>
      <c r="N56" s="1">
        <v>12</v>
      </c>
      <c r="O56" s="1">
        <v>12</v>
      </c>
      <c r="P56">
        <v>2019</v>
      </c>
      <c r="Q5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6" s="1" t="s">
        <v>2779</v>
      </c>
    </row>
    <row r="57" spans="1:18" x14ac:dyDescent="0.25">
      <c r="A57" t="s">
        <v>235</v>
      </c>
      <c r="B57" t="s">
        <v>236</v>
      </c>
      <c r="C57" s="1">
        <v>280</v>
      </c>
      <c r="I57" s="1">
        <v>0</v>
      </c>
      <c r="J57" s="1">
        <v>0</v>
      </c>
      <c r="L57" s="1">
        <v>0</v>
      </c>
      <c r="M57" s="6" t="s">
        <v>2784</v>
      </c>
      <c r="N57" s="1">
        <v>112</v>
      </c>
      <c r="O57" s="1">
        <v>112</v>
      </c>
      <c r="P57" t="s">
        <v>2778</v>
      </c>
      <c r="Q5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7" s="1" t="s">
        <v>2779</v>
      </c>
    </row>
    <row r="58" spans="1:18" x14ac:dyDescent="0.25">
      <c r="A58" t="s">
        <v>239</v>
      </c>
      <c r="B58" t="s">
        <v>240</v>
      </c>
      <c r="C58" s="1">
        <v>50</v>
      </c>
      <c r="I58" s="1">
        <v>0</v>
      </c>
      <c r="J58" s="1">
        <v>0</v>
      </c>
      <c r="K58" s="1">
        <v>0</v>
      </c>
      <c r="L58" s="1">
        <v>0</v>
      </c>
      <c r="M58" s="6" t="s">
        <v>2784</v>
      </c>
      <c r="N58" s="1">
        <v>5</v>
      </c>
      <c r="O58" s="1">
        <v>5</v>
      </c>
      <c r="P58" t="s">
        <v>2778</v>
      </c>
      <c r="Q5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8" s="1" t="s">
        <v>2779</v>
      </c>
    </row>
    <row r="59" spans="1:18" x14ac:dyDescent="0.25">
      <c r="A59" t="s">
        <v>243</v>
      </c>
      <c r="B59" t="s">
        <v>244</v>
      </c>
      <c r="C59" s="1">
        <v>87</v>
      </c>
      <c r="I59" s="1">
        <v>0</v>
      </c>
      <c r="J59" s="1">
        <v>0</v>
      </c>
      <c r="K59" s="1">
        <v>0</v>
      </c>
      <c r="L59" s="1">
        <v>0</v>
      </c>
      <c r="M59" s="6" t="s">
        <v>2784</v>
      </c>
      <c r="N59" s="1">
        <v>61</v>
      </c>
      <c r="O59" s="1">
        <v>61</v>
      </c>
      <c r="P59" t="s">
        <v>2778</v>
      </c>
      <c r="Q5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9" s="1" t="s">
        <v>2779</v>
      </c>
    </row>
    <row r="60" spans="1:18" x14ac:dyDescent="0.25">
      <c r="A60" t="s">
        <v>247</v>
      </c>
      <c r="B60" t="s">
        <v>248</v>
      </c>
      <c r="C60" s="1">
        <v>3129</v>
      </c>
      <c r="I60" s="1">
        <v>0</v>
      </c>
      <c r="J60" s="1">
        <v>0</v>
      </c>
      <c r="K60" s="1">
        <v>0</v>
      </c>
      <c r="L60" s="1">
        <v>0</v>
      </c>
      <c r="M60" s="6" t="s">
        <v>2784</v>
      </c>
      <c r="N60" s="1">
        <v>337</v>
      </c>
      <c r="O60" s="1">
        <v>337</v>
      </c>
      <c r="P60" t="s">
        <v>2778</v>
      </c>
      <c r="Q6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0" s="1" t="s">
        <v>2779</v>
      </c>
    </row>
    <row r="61" spans="1:18" x14ac:dyDescent="0.25">
      <c r="A61" t="s">
        <v>665</v>
      </c>
      <c r="B61" t="s">
        <v>666</v>
      </c>
      <c r="C61" s="1">
        <v>10355</v>
      </c>
      <c r="I61" s="1">
        <v>0</v>
      </c>
      <c r="J61" s="1">
        <v>98</v>
      </c>
      <c r="K61" s="1">
        <v>333</v>
      </c>
      <c r="L61" s="1">
        <v>431</v>
      </c>
      <c r="M61" s="6">
        <f>(Table2[[#This Row],[Grand Total of Lead Service Lines Replaced]]/(Table2[[#This Row],[Total to be identified or replaced]]+Table2[[#This Row],[Grand Total of Lead Service Lines Replaced]]))</f>
        <v>0</v>
      </c>
      <c r="N61" s="1">
        <v>3444</v>
      </c>
      <c r="O61" s="1">
        <v>3875</v>
      </c>
      <c r="P61" t="s">
        <v>2778</v>
      </c>
      <c r="Q6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1" s="1" t="s">
        <v>2783</v>
      </c>
    </row>
    <row r="62" spans="1:18" x14ac:dyDescent="0.25">
      <c r="A62" t="s">
        <v>255</v>
      </c>
      <c r="B62" t="s">
        <v>256</v>
      </c>
      <c r="C62" s="1">
        <v>650</v>
      </c>
      <c r="I62" s="1">
        <v>0</v>
      </c>
      <c r="J62" s="1">
        <v>0</v>
      </c>
      <c r="K62" s="1">
        <v>0</v>
      </c>
      <c r="L62" s="1">
        <v>0</v>
      </c>
      <c r="M62" s="6" t="s">
        <v>2784</v>
      </c>
      <c r="N62" s="1">
        <v>404</v>
      </c>
      <c r="O62" s="1">
        <v>404</v>
      </c>
      <c r="P62" t="s">
        <v>2778</v>
      </c>
      <c r="Q6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2" s="1" t="s">
        <v>2779</v>
      </c>
    </row>
    <row r="63" spans="1:18" x14ac:dyDescent="0.25">
      <c r="A63" t="s">
        <v>675</v>
      </c>
      <c r="B63" t="s">
        <v>676</v>
      </c>
      <c r="C63" s="1">
        <v>726</v>
      </c>
      <c r="I63" s="1">
        <v>0</v>
      </c>
      <c r="J63" s="1">
        <v>0</v>
      </c>
      <c r="K63" s="1">
        <v>15</v>
      </c>
      <c r="L63" s="1">
        <v>15</v>
      </c>
      <c r="M63" s="6">
        <f>(Table2[[#This Row],[Grand Total of Lead Service Lines Replaced]]/(Table2[[#This Row],[Total to be identified or replaced]]+Table2[[#This Row],[Grand Total of Lead Service Lines Replaced]]))</f>
        <v>0</v>
      </c>
      <c r="N63" s="1">
        <v>320</v>
      </c>
      <c r="O63" s="1">
        <v>335</v>
      </c>
      <c r="P63" t="s">
        <v>2778</v>
      </c>
      <c r="Q6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3" s="1" t="s">
        <v>2783</v>
      </c>
    </row>
    <row r="64" spans="1:18" x14ac:dyDescent="0.25">
      <c r="A64" t="s">
        <v>263</v>
      </c>
      <c r="B64" t="s">
        <v>264</v>
      </c>
      <c r="C64" s="1">
        <v>155</v>
      </c>
      <c r="L64" s="1">
        <v>0</v>
      </c>
      <c r="M64" s="6" t="s">
        <v>2784</v>
      </c>
      <c r="N64" s="1">
        <v>65</v>
      </c>
      <c r="O64" s="1">
        <v>65</v>
      </c>
      <c r="P64" t="s">
        <v>2778</v>
      </c>
      <c r="Q6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4" s="1" t="s">
        <v>2779</v>
      </c>
    </row>
    <row r="65" spans="1:18" x14ac:dyDescent="0.25">
      <c r="A65" t="s">
        <v>677</v>
      </c>
      <c r="B65" t="s">
        <v>678</v>
      </c>
      <c r="C65" s="1">
        <v>50</v>
      </c>
      <c r="I65" s="1">
        <v>0</v>
      </c>
      <c r="J65" s="1">
        <v>0</v>
      </c>
      <c r="K65" s="1">
        <v>6</v>
      </c>
      <c r="L65" s="1">
        <v>6</v>
      </c>
      <c r="M65" s="6">
        <f>(Table2[[#This Row],[Grand Total of Lead Service Lines Replaced]]/(Table2[[#This Row],[Total to be identified or replaced]]+Table2[[#This Row],[Grand Total of Lead Service Lines Replaced]]))</f>
        <v>0</v>
      </c>
      <c r="N65" s="1">
        <v>59</v>
      </c>
      <c r="O65" s="1">
        <v>65</v>
      </c>
      <c r="P65" t="s">
        <v>2778</v>
      </c>
      <c r="Q6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5" s="1" t="s">
        <v>2783</v>
      </c>
    </row>
    <row r="66" spans="1:18" x14ac:dyDescent="0.25">
      <c r="A66" t="s">
        <v>621</v>
      </c>
      <c r="B66" t="s">
        <v>622</v>
      </c>
      <c r="C66" s="1">
        <v>6103</v>
      </c>
      <c r="I66" s="1">
        <v>0</v>
      </c>
      <c r="J66" s="1">
        <v>3</v>
      </c>
      <c r="K66" s="1">
        <v>736</v>
      </c>
      <c r="L66" s="1">
        <v>739</v>
      </c>
      <c r="M66" s="6">
        <f>(Table2[[#This Row],[Grand Total of Lead Service Lines Replaced]]/(Table2[[#This Row],[Total to be identified or replaced]]+Table2[[#This Row],[Grand Total of Lead Service Lines Replaced]]))</f>
        <v>0</v>
      </c>
      <c r="N66" s="1">
        <v>1677</v>
      </c>
      <c r="O66" s="1">
        <v>2416</v>
      </c>
      <c r="P66" t="s">
        <v>2778</v>
      </c>
      <c r="Q6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6" s="1" t="s">
        <v>2783</v>
      </c>
    </row>
    <row r="67" spans="1:18" x14ac:dyDescent="0.25">
      <c r="A67" t="s">
        <v>745</v>
      </c>
      <c r="B67" t="s">
        <v>746</v>
      </c>
      <c r="C67" s="1">
        <v>700</v>
      </c>
      <c r="I67" s="1">
        <v>15</v>
      </c>
      <c r="J67" s="1">
        <v>0</v>
      </c>
      <c r="K67" s="1">
        <v>48</v>
      </c>
      <c r="L67" s="1">
        <v>63</v>
      </c>
      <c r="M67" s="6">
        <f>(Table2[[#This Row],[Grand Total of Lead Service Lines Replaced]]/(Table2[[#This Row],[Total to be identified or replaced]]+Table2[[#This Row],[Grand Total of Lead Service Lines Replaced]]))</f>
        <v>0</v>
      </c>
      <c r="N67" s="1">
        <v>183</v>
      </c>
      <c r="O67" s="1">
        <v>246</v>
      </c>
      <c r="P67" t="s">
        <v>2778</v>
      </c>
      <c r="Q6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7" s="1" t="s">
        <v>2783</v>
      </c>
    </row>
    <row r="68" spans="1:18" x14ac:dyDescent="0.25">
      <c r="A68" t="s">
        <v>801</v>
      </c>
      <c r="B68" t="s">
        <v>802</v>
      </c>
      <c r="C68" s="1">
        <v>1700</v>
      </c>
      <c r="I68" s="1">
        <v>0</v>
      </c>
      <c r="J68" s="1">
        <v>0</v>
      </c>
      <c r="K68" s="1">
        <v>84</v>
      </c>
      <c r="L68" s="1">
        <v>84</v>
      </c>
      <c r="M68" s="6">
        <f>(Table2[[#This Row],[Grand Total of Lead Service Lines Replaced]]/(Table2[[#This Row],[Total to be identified or replaced]]+Table2[[#This Row],[Grand Total of Lead Service Lines Replaced]]))</f>
        <v>0</v>
      </c>
      <c r="N68" s="1">
        <v>656</v>
      </c>
      <c r="O68" s="1">
        <v>740</v>
      </c>
      <c r="P68" t="s">
        <v>2778</v>
      </c>
      <c r="Q6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8" s="1" t="s">
        <v>2783</v>
      </c>
    </row>
    <row r="69" spans="1:18" x14ac:dyDescent="0.25">
      <c r="A69" t="s">
        <v>363</v>
      </c>
      <c r="B69" t="s">
        <v>364</v>
      </c>
      <c r="C69" s="1">
        <v>21000</v>
      </c>
      <c r="K69" s="1">
        <v>2216</v>
      </c>
      <c r="L69" s="1">
        <v>2216</v>
      </c>
      <c r="M69" s="6">
        <f>(Table2[[#This Row],[Grand Total of Lead Service Lines Replaced]]/(Table2[[#This Row],[Total to be identified or replaced]]+Table2[[#This Row],[Grand Total of Lead Service Lines Replaced]]))</f>
        <v>0</v>
      </c>
      <c r="N69" s="1">
        <v>5225</v>
      </c>
      <c r="O69" s="1">
        <v>7441</v>
      </c>
      <c r="P69" t="s">
        <v>2778</v>
      </c>
      <c r="Q6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9" s="1" t="s">
        <v>2783</v>
      </c>
    </row>
    <row r="70" spans="1:18" x14ac:dyDescent="0.25">
      <c r="A70" t="s">
        <v>287</v>
      </c>
      <c r="B70" t="s">
        <v>288</v>
      </c>
      <c r="C70" s="1">
        <v>50</v>
      </c>
      <c r="I70" s="1">
        <v>0</v>
      </c>
      <c r="J70" s="1">
        <v>0</v>
      </c>
      <c r="K70" s="1">
        <v>0</v>
      </c>
      <c r="L70" s="1">
        <v>0</v>
      </c>
      <c r="M70" s="6" t="s">
        <v>2784</v>
      </c>
      <c r="N70" s="1">
        <v>1</v>
      </c>
      <c r="O70" s="1">
        <v>1</v>
      </c>
      <c r="P70" t="s">
        <v>2778</v>
      </c>
      <c r="Q7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0" s="1" t="s">
        <v>2779</v>
      </c>
    </row>
    <row r="71" spans="1:18" x14ac:dyDescent="0.25">
      <c r="A71" t="s">
        <v>861</v>
      </c>
      <c r="B71" t="s">
        <v>862</v>
      </c>
      <c r="C71" s="1">
        <v>125</v>
      </c>
      <c r="J71" s="1">
        <v>50</v>
      </c>
      <c r="L71" s="1">
        <v>50</v>
      </c>
      <c r="M71" s="6">
        <f>(Table2[[#This Row],[Grand Total of Lead Service Lines Replaced]]/(Table2[[#This Row],[Total to be identified or replaced]]+Table2[[#This Row],[Grand Total of Lead Service Lines Replaced]]))</f>
        <v>0</v>
      </c>
      <c r="O71" s="1">
        <v>50</v>
      </c>
      <c r="P71" t="s">
        <v>2778</v>
      </c>
      <c r="Q7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1" s="1" t="s">
        <v>2783</v>
      </c>
    </row>
    <row r="72" spans="1:18" x14ac:dyDescent="0.25">
      <c r="A72" t="s">
        <v>293</v>
      </c>
      <c r="B72" t="s">
        <v>294</v>
      </c>
      <c r="C72" s="1">
        <v>114</v>
      </c>
      <c r="I72" s="1">
        <v>0</v>
      </c>
      <c r="J72" s="1">
        <v>0</v>
      </c>
      <c r="K72" s="1">
        <v>0</v>
      </c>
      <c r="L72" s="1">
        <v>0</v>
      </c>
      <c r="M72" s="6" t="s">
        <v>2784</v>
      </c>
      <c r="N72" s="1">
        <v>49</v>
      </c>
      <c r="O72" s="1">
        <v>49</v>
      </c>
      <c r="P72" t="s">
        <v>2778</v>
      </c>
      <c r="Q7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2" s="1" t="s">
        <v>2779</v>
      </c>
    </row>
    <row r="73" spans="1:18" x14ac:dyDescent="0.25">
      <c r="A73" t="s">
        <v>297</v>
      </c>
      <c r="B73" t="s">
        <v>298</v>
      </c>
      <c r="C73" s="1">
        <v>260</v>
      </c>
      <c r="L73" s="1">
        <v>0</v>
      </c>
      <c r="M73" s="6" t="s">
        <v>2784</v>
      </c>
      <c r="N73" s="1">
        <v>101</v>
      </c>
      <c r="O73" s="1">
        <v>101</v>
      </c>
      <c r="P73" t="s">
        <v>2778</v>
      </c>
      <c r="Q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3" s="1" t="s">
        <v>2779</v>
      </c>
    </row>
    <row r="74" spans="1:18" x14ac:dyDescent="0.25">
      <c r="A74" t="s">
        <v>729</v>
      </c>
      <c r="B74" t="s">
        <v>730</v>
      </c>
      <c r="C74" s="1">
        <v>2515</v>
      </c>
      <c r="I74" s="1">
        <v>0</v>
      </c>
      <c r="J74" s="1">
        <v>109</v>
      </c>
      <c r="K74" s="1">
        <v>381</v>
      </c>
      <c r="L74" s="1">
        <v>490</v>
      </c>
      <c r="M74" s="6">
        <f>(Table2[[#This Row],[Grand Total of Lead Service Lines Replaced]]/(Table2[[#This Row],[Total to be identified or replaced]]+Table2[[#This Row],[Grand Total of Lead Service Lines Replaced]]))</f>
        <v>0</v>
      </c>
      <c r="N74" s="1">
        <v>330</v>
      </c>
      <c r="O74" s="1">
        <v>820</v>
      </c>
      <c r="P74" t="s">
        <v>2778</v>
      </c>
      <c r="Q7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4" s="1" t="s">
        <v>2783</v>
      </c>
    </row>
    <row r="75" spans="1:18" x14ac:dyDescent="0.25">
      <c r="A75" t="s">
        <v>953</v>
      </c>
      <c r="B75" t="s">
        <v>954</v>
      </c>
      <c r="C75" s="1">
        <v>2075</v>
      </c>
      <c r="I75" s="1">
        <v>0</v>
      </c>
      <c r="K75" s="1">
        <v>63</v>
      </c>
      <c r="L75" s="1">
        <v>63</v>
      </c>
      <c r="M75" s="6">
        <f>(Table2[[#This Row],[Grand Total of Lead Service Lines Replaced]]/(Table2[[#This Row],[Total to be identified or replaced]]+Table2[[#This Row],[Grand Total of Lead Service Lines Replaced]]))</f>
        <v>0</v>
      </c>
      <c r="N75" s="1">
        <v>499</v>
      </c>
      <c r="O75" s="1">
        <v>620</v>
      </c>
      <c r="P75" t="s">
        <v>2778</v>
      </c>
      <c r="Q7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5" s="1" t="s">
        <v>2783</v>
      </c>
    </row>
    <row r="76" spans="1:18" x14ac:dyDescent="0.25">
      <c r="A76" t="s">
        <v>309</v>
      </c>
      <c r="B76" t="s">
        <v>310</v>
      </c>
      <c r="C76" s="1">
        <v>188</v>
      </c>
      <c r="I76" s="1">
        <v>0</v>
      </c>
      <c r="J76" s="1">
        <v>0</v>
      </c>
      <c r="K76" s="1">
        <v>0</v>
      </c>
      <c r="L76" s="1">
        <v>0</v>
      </c>
      <c r="M76" s="6" t="s">
        <v>2784</v>
      </c>
      <c r="N76" s="1">
        <v>75</v>
      </c>
      <c r="O76" s="1">
        <v>75</v>
      </c>
      <c r="P76" t="s">
        <v>2778</v>
      </c>
      <c r="Q7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6" s="1" t="s">
        <v>2779</v>
      </c>
    </row>
    <row r="77" spans="1:18" x14ac:dyDescent="0.25">
      <c r="A77" t="s">
        <v>313</v>
      </c>
      <c r="B77" t="s">
        <v>314</v>
      </c>
      <c r="C77" s="1">
        <v>921</v>
      </c>
      <c r="I77" s="1">
        <v>0</v>
      </c>
      <c r="J77" s="1">
        <v>0</v>
      </c>
      <c r="K77" s="1">
        <v>0</v>
      </c>
      <c r="L77" s="1">
        <v>0</v>
      </c>
      <c r="M77" s="6" t="s">
        <v>2784</v>
      </c>
      <c r="N77" s="1">
        <v>612</v>
      </c>
      <c r="O77" s="1">
        <v>612</v>
      </c>
      <c r="P77" t="s">
        <v>2778</v>
      </c>
      <c r="Q7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7" s="1" t="s">
        <v>2779</v>
      </c>
    </row>
    <row r="78" spans="1:18" x14ac:dyDescent="0.25">
      <c r="A78" t="s">
        <v>1003</v>
      </c>
      <c r="B78" t="s">
        <v>1004</v>
      </c>
      <c r="C78" s="1">
        <v>282</v>
      </c>
      <c r="K78" s="1">
        <v>90</v>
      </c>
      <c r="L78" s="1">
        <v>90</v>
      </c>
      <c r="M78" s="6">
        <f>(Table2[[#This Row],[Grand Total of Lead Service Lines Replaced]]/(Table2[[#This Row],[Total to be identified or replaced]]+Table2[[#This Row],[Grand Total of Lead Service Lines Replaced]]))</f>
        <v>0</v>
      </c>
      <c r="N78" s="1">
        <v>23</v>
      </c>
      <c r="O78" s="1">
        <v>113</v>
      </c>
      <c r="P78" t="s">
        <v>2778</v>
      </c>
      <c r="Q7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8" s="1" t="s">
        <v>2783</v>
      </c>
    </row>
    <row r="79" spans="1:18" x14ac:dyDescent="0.25">
      <c r="A79" t="s">
        <v>319</v>
      </c>
      <c r="B79" t="s">
        <v>320</v>
      </c>
      <c r="C79" s="1">
        <v>420</v>
      </c>
      <c r="I79" s="1">
        <v>0</v>
      </c>
      <c r="J79" s="1">
        <v>0</v>
      </c>
      <c r="K79" s="1">
        <v>0</v>
      </c>
      <c r="L79" s="1">
        <v>0</v>
      </c>
      <c r="M79" s="6" t="s">
        <v>2784</v>
      </c>
      <c r="N79" s="1">
        <v>48</v>
      </c>
      <c r="O79" s="1">
        <v>48</v>
      </c>
      <c r="P79" t="s">
        <v>2778</v>
      </c>
      <c r="Q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9" s="1" t="s">
        <v>2779</v>
      </c>
    </row>
    <row r="80" spans="1:18" x14ac:dyDescent="0.25">
      <c r="A80" t="s">
        <v>2071</v>
      </c>
      <c r="B80" t="s">
        <v>2072</v>
      </c>
      <c r="C80" s="1">
        <v>1515</v>
      </c>
      <c r="D80" s="1">
        <v>4</v>
      </c>
      <c r="F80" s="1">
        <v>3</v>
      </c>
      <c r="G80" s="1">
        <v>264</v>
      </c>
      <c r="H80" s="1">
        <v>271</v>
      </c>
      <c r="I80" s="1">
        <v>0</v>
      </c>
      <c r="J80" s="1">
        <v>32</v>
      </c>
      <c r="K80" s="1">
        <v>0</v>
      </c>
      <c r="L80" s="1">
        <v>32</v>
      </c>
      <c r="M80" s="6" t="s">
        <v>2784</v>
      </c>
      <c r="N80" s="1">
        <v>560</v>
      </c>
      <c r="P80" t="s">
        <v>2778</v>
      </c>
      <c r="Q80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0" s="1" t="s">
        <v>2782</v>
      </c>
    </row>
    <row r="81" spans="1:18" x14ac:dyDescent="0.25">
      <c r="A81" t="s">
        <v>1046</v>
      </c>
      <c r="B81" t="s">
        <v>1047</v>
      </c>
      <c r="C81" s="1">
        <v>125</v>
      </c>
      <c r="I81" s="1">
        <v>0</v>
      </c>
      <c r="J81" s="1">
        <v>0</v>
      </c>
      <c r="K81" s="1">
        <v>58</v>
      </c>
      <c r="L81" s="1">
        <v>58</v>
      </c>
      <c r="M81" s="6">
        <f>(Table2[[#This Row],[Grand Total of Lead Service Lines Replaced]]/(Table2[[#This Row],[Total to be identified or replaced]]+Table2[[#This Row],[Grand Total of Lead Service Lines Replaced]]))</f>
        <v>0</v>
      </c>
      <c r="N81" s="1">
        <v>15</v>
      </c>
      <c r="O81" s="1">
        <v>73</v>
      </c>
      <c r="P81" t="s">
        <v>2778</v>
      </c>
      <c r="Q8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1" s="1" t="s">
        <v>2783</v>
      </c>
    </row>
    <row r="82" spans="1:18" x14ac:dyDescent="0.25">
      <c r="A82" t="s">
        <v>715</v>
      </c>
      <c r="B82" t="s">
        <v>716</v>
      </c>
      <c r="C82" s="1">
        <v>1847</v>
      </c>
      <c r="I82" s="1">
        <v>0</v>
      </c>
      <c r="J82" s="1">
        <v>0</v>
      </c>
      <c r="K82" s="1">
        <v>508</v>
      </c>
      <c r="L82" s="1">
        <v>508</v>
      </c>
      <c r="M82" s="6">
        <f>(Table2[[#This Row],[Grand Total of Lead Service Lines Replaced]]/(Table2[[#This Row],[Total to be identified or replaced]]+Table2[[#This Row],[Grand Total of Lead Service Lines Replaced]]))</f>
        <v>0</v>
      </c>
      <c r="N82" s="1">
        <v>284</v>
      </c>
      <c r="O82" s="1">
        <v>792</v>
      </c>
      <c r="P82" t="s">
        <v>2778</v>
      </c>
      <c r="Q8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2" s="1" t="s">
        <v>2783</v>
      </c>
    </row>
    <row r="83" spans="1:18" x14ac:dyDescent="0.25">
      <c r="A83" t="s">
        <v>331</v>
      </c>
      <c r="B83" t="s">
        <v>332</v>
      </c>
      <c r="C83" s="1">
        <v>40</v>
      </c>
      <c r="I83" s="1">
        <v>0</v>
      </c>
      <c r="J83" s="1">
        <v>0</v>
      </c>
      <c r="K83" s="1">
        <v>0</v>
      </c>
      <c r="L83" s="1">
        <v>0</v>
      </c>
      <c r="M83" s="6" t="s">
        <v>2784</v>
      </c>
      <c r="N83" s="1">
        <v>20</v>
      </c>
      <c r="O83" s="1">
        <v>20</v>
      </c>
      <c r="P83" t="s">
        <v>2778</v>
      </c>
      <c r="Q8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3" s="1" t="s">
        <v>2779</v>
      </c>
    </row>
    <row r="84" spans="1:18" x14ac:dyDescent="0.25">
      <c r="A84" t="s">
        <v>335</v>
      </c>
      <c r="B84" t="s">
        <v>336</v>
      </c>
      <c r="C84" s="1">
        <v>208</v>
      </c>
      <c r="I84" s="1">
        <v>0</v>
      </c>
      <c r="J84" s="1">
        <v>0</v>
      </c>
      <c r="K84" s="1">
        <v>0</v>
      </c>
      <c r="L84" s="1">
        <v>0</v>
      </c>
      <c r="M84" s="6" t="s">
        <v>2784</v>
      </c>
      <c r="N84" s="1">
        <v>84</v>
      </c>
      <c r="O84" s="1">
        <v>84</v>
      </c>
      <c r="P84" t="s">
        <v>2778</v>
      </c>
      <c r="Q8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4" s="1" t="s">
        <v>2779</v>
      </c>
    </row>
    <row r="85" spans="1:18" x14ac:dyDescent="0.25">
      <c r="A85" t="s">
        <v>339</v>
      </c>
      <c r="B85" t="s">
        <v>340</v>
      </c>
      <c r="C85" s="1">
        <v>831</v>
      </c>
      <c r="I85" s="1">
        <v>0</v>
      </c>
      <c r="J85" s="1">
        <v>0</v>
      </c>
      <c r="K85" s="1">
        <v>0</v>
      </c>
      <c r="L85" s="1">
        <v>0</v>
      </c>
      <c r="M85" s="6" t="s">
        <v>2784</v>
      </c>
      <c r="N85" s="1">
        <v>482</v>
      </c>
      <c r="O85" s="1">
        <v>482</v>
      </c>
      <c r="P85" t="s">
        <v>2778</v>
      </c>
      <c r="Q8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5" s="1" t="s">
        <v>2779</v>
      </c>
    </row>
    <row r="86" spans="1:18" x14ac:dyDescent="0.25">
      <c r="A86" t="s">
        <v>343</v>
      </c>
      <c r="B86" t="s">
        <v>344</v>
      </c>
      <c r="C86" s="1">
        <v>158</v>
      </c>
      <c r="I86" s="1">
        <v>0</v>
      </c>
      <c r="J86" s="1">
        <v>0</v>
      </c>
      <c r="K86" s="1">
        <v>0</v>
      </c>
      <c r="L86" s="1">
        <v>0</v>
      </c>
      <c r="M86" s="6" t="s">
        <v>2784</v>
      </c>
      <c r="N86" s="1">
        <v>74</v>
      </c>
      <c r="O86" s="1">
        <v>74</v>
      </c>
      <c r="P86" t="s">
        <v>2778</v>
      </c>
      <c r="Q8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6" s="1" t="s">
        <v>2779</v>
      </c>
    </row>
    <row r="87" spans="1:18" x14ac:dyDescent="0.25">
      <c r="A87" t="s">
        <v>14</v>
      </c>
      <c r="B87" t="s">
        <v>15</v>
      </c>
      <c r="C87" s="1">
        <v>57774</v>
      </c>
      <c r="E87" s="1">
        <v>5</v>
      </c>
      <c r="F87" s="1">
        <v>9</v>
      </c>
      <c r="H87" s="1">
        <v>14</v>
      </c>
      <c r="I87" s="1" t="s">
        <v>16</v>
      </c>
      <c r="M87" s="6" t="s">
        <v>2784</v>
      </c>
      <c r="P87">
        <v>2020</v>
      </c>
      <c r="Q87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7" s="1" t="s">
        <v>2782</v>
      </c>
    </row>
    <row r="88" spans="1:18" x14ac:dyDescent="0.25">
      <c r="A88" t="s">
        <v>351</v>
      </c>
      <c r="B88" t="s">
        <v>352</v>
      </c>
      <c r="C88" s="1">
        <v>36</v>
      </c>
      <c r="I88" s="1">
        <v>0</v>
      </c>
      <c r="J88" s="1">
        <v>0</v>
      </c>
      <c r="K88" s="1">
        <v>0</v>
      </c>
      <c r="L88" s="1">
        <v>0</v>
      </c>
      <c r="M88" s="6" t="s">
        <v>2784</v>
      </c>
      <c r="N88" s="1">
        <v>1</v>
      </c>
      <c r="O88" s="1">
        <v>1</v>
      </c>
      <c r="P88" t="s">
        <v>2778</v>
      </c>
      <c r="Q8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8" s="1" t="s">
        <v>2779</v>
      </c>
    </row>
    <row r="89" spans="1:18" x14ac:dyDescent="0.25">
      <c r="A89" t="s">
        <v>355</v>
      </c>
      <c r="B89" t="s">
        <v>356</v>
      </c>
      <c r="C89" s="1">
        <v>112</v>
      </c>
      <c r="I89" s="1">
        <v>0</v>
      </c>
      <c r="J89" s="1">
        <v>0</v>
      </c>
      <c r="K89" s="1">
        <v>0</v>
      </c>
      <c r="L89" s="1">
        <v>0</v>
      </c>
      <c r="M89" s="6" t="s">
        <v>2784</v>
      </c>
      <c r="N89" s="1">
        <v>73</v>
      </c>
      <c r="O89" s="1">
        <v>73</v>
      </c>
      <c r="P89" t="s">
        <v>2778</v>
      </c>
      <c r="Q8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9" s="1" t="s">
        <v>2779</v>
      </c>
    </row>
    <row r="90" spans="1:18" x14ac:dyDescent="0.25">
      <c r="A90" t="s">
        <v>357</v>
      </c>
      <c r="B90" t="s">
        <v>358</v>
      </c>
      <c r="C90" s="1">
        <v>210</v>
      </c>
      <c r="I90" s="1">
        <v>0</v>
      </c>
      <c r="J90" s="1">
        <v>0</v>
      </c>
      <c r="K90" s="1">
        <v>0</v>
      </c>
      <c r="L90" s="1">
        <v>0</v>
      </c>
      <c r="M90" s="6" t="s">
        <v>2784</v>
      </c>
      <c r="N90" s="1">
        <v>35</v>
      </c>
      <c r="O90" s="1">
        <v>35</v>
      </c>
      <c r="P90" t="s">
        <v>2778</v>
      </c>
      <c r="Q9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0" s="1" t="s">
        <v>2779</v>
      </c>
    </row>
    <row r="91" spans="1:18" x14ac:dyDescent="0.25">
      <c r="A91" t="s">
        <v>361</v>
      </c>
      <c r="B91" t="s">
        <v>362</v>
      </c>
      <c r="C91" s="1">
        <v>25</v>
      </c>
      <c r="L91" s="1">
        <v>0</v>
      </c>
      <c r="M91" s="6" t="s">
        <v>2784</v>
      </c>
      <c r="N91" s="1">
        <v>21</v>
      </c>
      <c r="O91" s="1">
        <v>21</v>
      </c>
      <c r="P91" t="s">
        <v>2778</v>
      </c>
      <c r="Q9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1" s="1" t="s">
        <v>2779</v>
      </c>
    </row>
    <row r="92" spans="1:18" x14ac:dyDescent="0.25">
      <c r="A92" t="s">
        <v>1096</v>
      </c>
      <c r="B92" t="s">
        <v>1097</v>
      </c>
      <c r="C92" s="1">
        <v>1922</v>
      </c>
      <c r="J92" s="1">
        <v>38</v>
      </c>
      <c r="L92" s="1">
        <v>38</v>
      </c>
      <c r="M92" s="6">
        <f>(Table2[[#This Row],[Grand Total of Lead Service Lines Replaced]]/(Table2[[#This Row],[Total to be identified or replaced]]+Table2[[#This Row],[Grand Total of Lead Service Lines Replaced]]))</f>
        <v>0</v>
      </c>
      <c r="N92" s="1">
        <v>852</v>
      </c>
      <c r="O92" s="1">
        <v>890</v>
      </c>
      <c r="P92" t="s">
        <v>2778</v>
      </c>
      <c r="Q9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2" s="1" t="s">
        <v>2783</v>
      </c>
    </row>
    <row r="93" spans="1:18" x14ac:dyDescent="0.25">
      <c r="A93" t="s">
        <v>369</v>
      </c>
      <c r="B93" t="s">
        <v>370</v>
      </c>
      <c r="C93" s="1">
        <v>76</v>
      </c>
      <c r="I93" s="1">
        <v>0</v>
      </c>
      <c r="J93" s="1">
        <v>0</v>
      </c>
      <c r="K93" s="1">
        <v>0</v>
      </c>
      <c r="L93" s="1">
        <v>0</v>
      </c>
      <c r="M93" s="6" t="s">
        <v>2784</v>
      </c>
      <c r="N93" s="1">
        <v>40</v>
      </c>
      <c r="O93" s="1">
        <v>40</v>
      </c>
      <c r="P93" t="s">
        <v>2778</v>
      </c>
      <c r="Q9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3" s="1" t="s">
        <v>2779</v>
      </c>
    </row>
    <row r="94" spans="1:18" x14ac:dyDescent="0.25">
      <c r="A94" t="s">
        <v>373</v>
      </c>
      <c r="B94" t="s">
        <v>374</v>
      </c>
      <c r="C94" s="1">
        <v>25</v>
      </c>
      <c r="I94" s="1">
        <v>0</v>
      </c>
      <c r="J94" s="1">
        <v>0</v>
      </c>
      <c r="K94" s="1">
        <v>0</v>
      </c>
      <c r="L94" s="1">
        <v>0</v>
      </c>
      <c r="M94" s="6" t="s">
        <v>2784</v>
      </c>
      <c r="N94" s="1">
        <v>3</v>
      </c>
      <c r="O94" s="1">
        <v>3</v>
      </c>
      <c r="P94" t="s">
        <v>2778</v>
      </c>
      <c r="Q9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4" s="1" t="s">
        <v>2779</v>
      </c>
    </row>
    <row r="95" spans="1:18" x14ac:dyDescent="0.25">
      <c r="A95" t="s">
        <v>377</v>
      </c>
      <c r="B95" t="s">
        <v>378</v>
      </c>
      <c r="C95" s="1">
        <v>829</v>
      </c>
      <c r="I95" s="1">
        <v>0</v>
      </c>
      <c r="J95" s="1">
        <v>0</v>
      </c>
      <c r="K95" s="1">
        <v>0</v>
      </c>
      <c r="L95" s="1">
        <v>0</v>
      </c>
      <c r="M95" s="6" t="s">
        <v>2784</v>
      </c>
      <c r="N95" s="1">
        <v>283</v>
      </c>
      <c r="O95" s="1">
        <v>283</v>
      </c>
      <c r="P95" t="s">
        <v>2778</v>
      </c>
      <c r="Q9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5" s="1" t="s">
        <v>2779</v>
      </c>
    </row>
    <row r="96" spans="1:18" x14ac:dyDescent="0.25">
      <c r="A96" t="s">
        <v>381</v>
      </c>
      <c r="B96" t="s">
        <v>382</v>
      </c>
      <c r="C96" s="1">
        <v>1211</v>
      </c>
      <c r="I96" s="1">
        <v>0</v>
      </c>
      <c r="J96" s="1">
        <v>0</v>
      </c>
      <c r="K96" s="1">
        <v>0</v>
      </c>
      <c r="L96" s="1">
        <v>0</v>
      </c>
      <c r="M96" s="6" t="s">
        <v>2784</v>
      </c>
      <c r="N96" s="1">
        <v>471</v>
      </c>
      <c r="O96" s="1">
        <v>471</v>
      </c>
      <c r="P96" t="s">
        <v>2778</v>
      </c>
      <c r="Q9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6" s="1" t="s">
        <v>2779</v>
      </c>
    </row>
    <row r="97" spans="1:18" x14ac:dyDescent="0.25">
      <c r="A97" t="s">
        <v>307</v>
      </c>
      <c r="B97" t="s">
        <v>308</v>
      </c>
      <c r="C97" s="1">
        <v>1824</v>
      </c>
      <c r="I97" s="1">
        <v>0</v>
      </c>
      <c r="J97" s="1">
        <v>1</v>
      </c>
      <c r="K97" s="1">
        <v>3492</v>
      </c>
      <c r="L97" s="1">
        <v>3493</v>
      </c>
      <c r="M97" s="6">
        <f>(Table2[[#This Row],[Grand Total of Lead Service Lines Replaced]]/(Table2[[#This Row],[Total to be identified or replaced]]+Table2[[#This Row],[Grand Total of Lead Service Lines Replaced]]))</f>
        <v>0</v>
      </c>
      <c r="N97" s="1">
        <v>2952</v>
      </c>
      <c r="O97" s="1">
        <v>6445</v>
      </c>
      <c r="P97" t="s">
        <v>2778</v>
      </c>
      <c r="Q9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7" s="1" t="s">
        <v>2783</v>
      </c>
    </row>
    <row r="98" spans="1:18" x14ac:dyDescent="0.25">
      <c r="A98" t="s">
        <v>389</v>
      </c>
      <c r="B98" t="s">
        <v>390</v>
      </c>
      <c r="C98" s="1">
        <v>850</v>
      </c>
      <c r="I98" s="1">
        <v>0</v>
      </c>
      <c r="J98" s="1">
        <v>0</v>
      </c>
      <c r="K98" s="1">
        <v>0</v>
      </c>
      <c r="L98" s="1">
        <v>0</v>
      </c>
      <c r="M98" s="6" t="s">
        <v>2784</v>
      </c>
      <c r="N98" s="1">
        <v>339</v>
      </c>
      <c r="O98" s="1">
        <v>339</v>
      </c>
      <c r="P98" t="s">
        <v>2778</v>
      </c>
      <c r="Q9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8" s="1" t="s">
        <v>2779</v>
      </c>
    </row>
    <row r="99" spans="1:18" x14ac:dyDescent="0.25">
      <c r="A99" t="s">
        <v>393</v>
      </c>
      <c r="B99" t="s">
        <v>394</v>
      </c>
      <c r="C99" s="1">
        <v>156</v>
      </c>
      <c r="I99" s="1">
        <v>0</v>
      </c>
      <c r="J99" s="1">
        <v>0</v>
      </c>
      <c r="K99" s="1">
        <v>0</v>
      </c>
      <c r="L99" s="1">
        <v>0</v>
      </c>
      <c r="M99" s="6" t="s">
        <v>2784</v>
      </c>
      <c r="N99" s="1">
        <v>7</v>
      </c>
      <c r="O99" s="1">
        <v>7</v>
      </c>
      <c r="P99" t="s">
        <v>2778</v>
      </c>
      <c r="Q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9" s="1" t="s">
        <v>2779</v>
      </c>
    </row>
    <row r="100" spans="1:18" x14ac:dyDescent="0.25">
      <c r="A100" t="s">
        <v>397</v>
      </c>
      <c r="B100" t="s">
        <v>398</v>
      </c>
      <c r="C100" s="1">
        <v>9400</v>
      </c>
      <c r="I100" s="1">
        <v>0</v>
      </c>
      <c r="J100" s="1">
        <v>0</v>
      </c>
      <c r="K100" s="1">
        <v>0</v>
      </c>
      <c r="L100" s="1">
        <v>0</v>
      </c>
      <c r="M100" s="6" t="s">
        <v>2784</v>
      </c>
      <c r="N100" s="1">
        <v>5063</v>
      </c>
      <c r="O100" s="1">
        <v>5063</v>
      </c>
      <c r="P100" t="s">
        <v>2778</v>
      </c>
      <c r="Q10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0" s="1" t="s">
        <v>2779</v>
      </c>
    </row>
    <row r="101" spans="1:18" x14ac:dyDescent="0.25">
      <c r="A101" t="s">
        <v>401</v>
      </c>
      <c r="B101" t="s">
        <v>402</v>
      </c>
      <c r="C101" s="1">
        <v>160</v>
      </c>
      <c r="I101" s="1">
        <v>0</v>
      </c>
      <c r="J101" s="1">
        <v>0</v>
      </c>
      <c r="K101" s="1">
        <v>0</v>
      </c>
      <c r="L101" s="1">
        <v>0</v>
      </c>
      <c r="M101" s="6" t="s">
        <v>2784</v>
      </c>
      <c r="N101" s="1">
        <v>64</v>
      </c>
      <c r="O101" s="1">
        <v>64</v>
      </c>
      <c r="P101" t="s">
        <v>2778</v>
      </c>
      <c r="Q10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1" s="1" t="s">
        <v>2779</v>
      </c>
    </row>
    <row r="102" spans="1:18" x14ac:dyDescent="0.25">
      <c r="A102" t="s">
        <v>963</v>
      </c>
      <c r="B102" t="s">
        <v>964</v>
      </c>
      <c r="C102" s="1">
        <v>1034</v>
      </c>
      <c r="I102" s="1">
        <v>0</v>
      </c>
      <c r="J102" s="1">
        <v>0</v>
      </c>
      <c r="K102" s="1">
        <v>248</v>
      </c>
      <c r="L102" s="1">
        <v>248</v>
      </c>
      <c r="M102" s="6">
        <f>(Table2[[#This Row],[Grand Total of Lead Service Lines Replaced]]/(Table2[[#This Row],[Total to be identified or replaced]]+Table2[[#This Row],[Grand Total of Lead Service Lines Replaced]]))</f>
        <v>0</v>
      </c>
      <c r="N102" s="1">
        <v>79</v>
      </c>
      <c r="O102" s="1">
        <v>327</v>
      </c>
      <c r="P102" t="s">
        <v>2778</v>
      </c>
      <c r="Q10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2" s="1" t="s">
        <v>2783</v>
      </c>
    </row>
    <row r="103" spans="1:18" x14ac:dyDescent="0.25">
      <c r="A103" t="s">
        <v>1216</v>
      </c>
      <c r="B103" t="s">
        <v>1217</v>
      </c>
      <c r="C103" s="1">
        <v>1642</v>
      </c>
      <c r="I103" s="1">
        <v>0</v>
      </c>
      <c r="J103" s="1">
        <v>10</v>
      </c>
      <c r="K103" s="1">
        <v>0</v>
      </c>
      <c r="L103" s="1">
        <v>10</v>
      </c>
      <c r="M103" s="6">
        <f>(Table2[[#This Row],[Grand Total of Lead Service Lines Replaced]]/(Table2[[#This Row],[Total to be identified or replaced]]+Table2[[#This Row],[Grand Total of Lead Service Lines Replaced]]))</f>
        <v>0</v>
      </c>
      <c r="N103" s="1">
        <v>1111</v>
      </c>
      <c r="O103" s="1">
        <v>1121</v>
      </c>
      <c r="P103" t="s">
        <v>2778</v>
      </c>
      <c r="Q10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3" s="1" t="s">
        <v>2783</v>
      </c>
    </row>
    <row r="104" spans="1:18" x14ac:dyDescent="0.25">
      <c r="A104" t="s">
        <v>917</v>
      </c>
      <c r="B104" t="s">
        <v>918</v>
      </c>
      <c r="C104" s="1">
        <v>1555</v>
      </c>
      <c r="D104" s="1">
        <v>6</v>
      </c>
      <c r="E104" s="1">
        <v>3</v>
      </c>
      <c r="F104" s="1">
        <v>3</v>
      </c>
      <c r="H104" s="1">
        <v>12</v>
      </c>
      <c r="L104" s="1">
        <v>0</v>
      </c>
      <c r="M104" s="6" t="s">
        <v>2784</v>
      </c>
      <c r="P104" t="s">
        <v>2778</v>
      </c>
      <c r="Q104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04" s="1" t="s">
        <v>2782</v>
      </c>
    </row>
    <row r="105" spans="1:18" x14ac:dyDescent="0.25">
      <c r="A105" t="s">
        <v>415</v>
      </c>
      <c r="B105" t="s">
        <v>416</v>
      </c>
      <c r="C105" s="1">
        <v>190</v>
      </c>
      <c r="I105" s="1">
        <v>0</v>
      </c>
      <c r="J105" s="1">
        <v>0</v>
      </c>
      <c r="K105" s="1">
        <v>0</v>
      </c>
      <c r="L105" s="1">
        <v>0</v>
      </c>
      <c r="M105" s="6" t="s">
        <v>2784</v>
      </c>
      <c r="N105" s="1">
        <v>14</v>
      </c>
      <c r="O105" s="1">
        <v>14</v>
      </c>
      <c r="P105" t="s">
        <v>2778</v>
      </c>
      <c r="Q10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5" s="1" t="s">
        <v>2779</v>
      </c>
    </row>
    <row r="106" spans="1:18" x14ac:dyDescent="0.25">
      <c r="A106" t="s">
        <v>1218</v>
      </c>
      <c r="B106" t="s">
        <v>1219</v>
      </c>
      <c r="C106" s="1">
        <v>808</v>
      </c>
      <c r="I106" s="1">
        <v>0</v>
      </c>
      <c r="J106" s="1">
        <v>1</v>
      </c>
      <c r="K106" s="1">
        <v>0</v>
      </c>
      <c r="L106" s="1">
        <v>1</v>
      </c>
      <c r="M106" s="6">
        <f>(Table2[[#This Row],[Grand Total of Lead Service Lines Replaced]]/(Table2[[#This Row],[Total to be identified or replaced]]+Table2[[#This Row],[Grand Total of Lead Service Lines Replaced]]))</f>
        <v>0</v>
      </c>
      <c r="N106" s="1">
        <v>375</v>
      </c>
      <c r="O106" s="1">
        <v>376</v>
      </c>
      <c r="P106" t="s">
        <v>2778</v>
      </c>
      <c r="Q10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6" s="1" t="s">
        <v>2783</v>
      </c>
    </row>
    <row r="107" spans="1:18" x14ac:dyDescent="0.25">
      <c r="A107" t="s">
        <v>1062</v>
      </c>
      <c r="B107" t="s">
        <v>1063</v>
      </c>
      <c r="C107" s="1">
        <v>823</v>
      </c>
      <c r="I107" s="1">
        <v>0</v>
      </c>
      <c r="J107" s="1">
        <v>0</v>
      </c>
      <c r="K107" s="1">
        <v>0</v>
      </c>
      <c r="L107" s="1">
        <v>0</v>
      </c>
      <c r="M107" s="6" t="s">
        <v>2784</v>
      </c>
      <c r="N107" s="1">
        <v>195</v>
      </c>
      <c r="O107" s="1">
        <v>195</v>
      </c>
      <c r="P107">
        <v>2019</v>
      </c>
      <c r="Q10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7" s="1" t="s">
        <v>2779</v>
      </c>
    </row>
    <row r="108" spans="1:18" x14ac:dyDescent="0.25">
      <c r="A108" t="s">
        <v>1198</v>
      </c>
      <c r="B108" t="s">
        <v>1199</v>
      </c>
      <c r="C108" s="1">
        <v>610</v>
      </c>
      <c r="I108" s="1">
        <v>0</v>
      </c>
      <c r="J108" s="1">
        <v>0</v>
      </c>
      <c r="K108" s="1">
        <v>0</v>
      </c>
      <c r="L108" s="1">
        <v>0</v>
      </c>
      <c r="M108" s="6" t="s">
        <v>2784</v>
      </c>
      <c r="N108" s="1">
        <v>262</v>
      </c>
      <c r="O108" s="1">
        <v>262</v>
      </c>
      <c r="P108">
        <v>2019</v>
      </c>
      <c r="Q10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8" s="1" t="s">
        <v>2779</v>
      </c>
    </row>
    <row r="109" spans="1:18" x14ac:dyDescent="0.25">
      <c r="A109" t="s">
        <v>1228</v>
      </c>
      <c r="B109" t="s">
        <v>1229</v>
      </c>
      <c r="C109" s="1">
        <v>966</v>
      </c>
      <c r="I109" s="1">
        <v>0</v>
      </c>
      <c r="J109" s="1">
        <v>0</v>
      </c>
      <c r="K109" s="1">
        <v>49</v>
      </c>
      <c r="L109" s="1">
        <v>49</v>
      </c>
      <c r="M109" s="6">
        <f>(Table2[[#This Row],[Grand Total of Lead Service Lines Replaced]]/(Table2[[#This Row],[Total to be identified or replaced]]+Table2[[#This Row],[Grand Total of Lead Service Lines Replaced]]))</f>
        <v>0</v>
      </c>
      <c r="N109" s="1">
        <v>383</v>
      </c>
      <c r="O109" s="1">
        <v>432</v>
      </c>
      <c r="P109" t="s">
        <v>2778</v>
      </c>
      <c r="Q10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9" s="1" t="s">
        <v>2783</v>
      </c>
    </row>
    <row r="110" spans="1:18" x14ac:dyDescent="0.25">
      <c r="A110" t="s">
        <v>1238</v>
      </c>
      <c r="B110" t="s">
        <v>1239</v>
      </c>
      <c r="C110" s="1">
        <v>400</v>
      </c>
      <c r="I110" s="1">
        <v>0</v>
      </c>
      <c r="J110" s="1">
        <v>0</v>
      </c>
      <c r="K110" s="1">
        <v>92</v>
      </c>
      <c r="L110" s="1">
        <v>92</v>
      </c>
      <c r="M110" s="6">
        <f>(Table2[[#This Row],[Grand Total of Lead Service Lines Replaced]]/(Table2[[#This Row],[Total to be identified or replaced]]+Table2[[#This Row],[Grand Total of Lead Service Lines Replaced]]))</f>
        <v>0</v>
      </c>
      <c r="N110" s="1">
        <v>286</v>
      </c>
      <c r="O110" s="1">
        <v>378</v>
      </c>
      <c r="P110" t="s">
        <v>2778</v>
      </c>
      <c r="Q11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0" s="1" t="s">
        <v>2783</v>
      </c>
    </row>
    <row r="111" spans="1:18" x14ac:dyDescent="0.25">
      <c r="A111" t="s">
        <v>1036</v>
      </c>
      <c r="B111" t="s">
        <v>1037</v>
      </c>
      <c r="C111" s="1">
        <v>2479</v>
      </c>
      <c r="I111" s="1">
        <v>0</v>
      </c>
      <c r="J111" s="1">
        <v>104</v>
      </c>
      <c r="K111" s="1">
        <v>123</v>
      </c>
      <c r="L111" s="1">
        <v>227</v>
      </c>
      <c r="M111" s="6">
        <f>(Table2[[#This Row],[Grand Total of Lead Service Lines Replaced]]/(Table2[[#This Row],[Total to be identified or replaced]]+Table2[[#This Row],[Grand Total of Lead Service Lines Replaced]]))</f>
        <v>0</v>
      </c>
      <c r="N111" s="1">
        <v>605</v>
      </c>
      <c r="O111" s="1">
        <v>832</v>
      </c>
      <c r="P111" t="s">
        <v>2778</v>
      </c>
      <c r="Q11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1" s="1" t="s">
        <v>2783</v>
      </c>
    </row>
    <row r="112" spans="1:18" x14ac:dyDescent="0.25">
      <c r="A112" t="s">
        <v>441</v>
      </c>
      <c r="B112" t="s">
        <v>442</v>
      </c>
      <c r="C112" s="1">
        <v>9900</v>
      </c>
      <c r="L112" s="1">
        <v>0</v>
      </c>
      <c r="M112" s="6" t="s">
        <v>2784</v>
      </c>
      <c r="N112" s="1">
        <v>2645</v>
      </c>
      <c r="O112" s="1">
        <v>2645</v>
      </c>
      <c r="P112" t="s">
        <v>2778</v>
      </c>
      <c r="Q11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2" s="1" t="s">
        <v>2779</v>
      </c>
    </row>
    <row r="113" spans="1:18" x14ac:dyDescent="0.25">
      <c r="A113" t="s">
        <v>1120</v>
      </c>
      <c r="B113" t="s">
        <v>1121</v>
      </c>
      <c r="C113" s="1">
        <v>2951</v>
      </c>
      <c r="I113" s="1">
        <v>0</v>
      </c>
      <c r="K113" s="1">
        <v>162</v>
      </c>
      <c r="L113" s="1">
        <v>162</v>
      </c>
      <c r="M113" s="6">
        <f>(Table2[[#This Row],[Grand Total of Lead Service Lines Replaced]]/(Table2[[#This Row],[Total to be identified or replaced]]+Table2[[#This Row],[Grand Total of Lead Service Lines Replaced]]))</f>
        <v>0</v>
      </c>
      <c r="N113" s="1">
        <v>636</v>
      </c>
      <c r="O113" s="1">
        <v>798</v>
      </c>
      <c r="P113" t="s">
        <v>2778</v>
      </c>
      <c r="Q11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3" s="1" t="s">
        <v>2783</v>
      </c>
    </row>
    <row r="114" spans="1:18" x14ac:dyDescent="0.25">
      <c r="A114" t="s">
        <v>1128</v>
      </c>
      <c r="B114" t="s">
        <v>1129</v>
      </c>
      <c r="C114" s="1">
        <v>16500</v>
      </c>
      <c r="I114" s="1">
        <v>0</v>
      </c>
      <c r="J114" s="1">
        <v>0</v>
      </c>
      <c r="K114" s="1">
        <v>159</v>
      </c>
      <c r="L114" s="1">
        <v>159</v>
      </c>
      <c r="M114" s="6">
        <f>(Table2[[#This Row],[Grand Total of Lead Service Lines Replaced]]/(Table2[[#This Row],[Total to be identified or replaced]]+Table2[[#This Row],[Grand Total of Lead Service Lines Replaced]]))</f>
        <v>0</v>
      </c>
      <c r="N114" s="1">
        <v>5203</v>
      </c>
      <c r="O114" s="1">
        <v>5362</v>
      </c>
      <c r="P114" t="s">
        <v>2778</v>
      </c>
      <c r="Q11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4" s="1" t="s">
        <v>2783</v>
      </c>
    </row>
    <row r="115" spans="1:18" x14ac:dyDescent="0.25">
      <c r="A115" t="s">
        <v>1348</v>
      </c>
      <c r="B115" t="s">
        <v>1349</v>
      </c>
      <c r="C115" s="1">
        <v>270</v>
      </c>
      <c r="I115" s="1">
        <v>0</v>
      </c>
      <c r="J115" s="1">
        <v>0</v>
      </c>
      <c r="K115" s="1">
        <v>89</v>
      </c>
      <c r="L115" s="1">
        <v>89</v>
      </c>
      <c r="M115" s="6">
        <f>(Table2[[#This Row],[Grand Total of Lead Service Lines Replaced]]/(Table2[[#This Row],[Total to be identified or replaced]]+Table2[[#This Row],[Grand Total of Lead Service Lines Replaced]]))</f>
        <v>0</v>
      </c>
      <c r="N115" s="1">
        <v>61</v>
      </c>
      <c r="O115" s="1">
        <v>150</v>
      </c>
      <c r="P115" t="s">
        <v>2778</v>
      </c>
      <c r="Q11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5" s="1" t="s">
        <v>2783</v>
      </c>
    </row>
    <row r="116" spans="1:18" x14ac:dyDescent="0.25">
      <c r="A116" t="s">
        <v>1386</v>
      </c>
      <c r="B116" t="s">
        <v>1387</v>
      </c>
      <c r="C116" s="1">
        <v>77</v>
      </c>
      <c r="I116" s="1">
        <v>0</v>
      </c>
      <c r="J116" s="1">
        <v>0</v>
      </c>
      <c r="K116" s="1">
        <v>0</v>
      </c>
      <c r="L116" s="1">
        <v>0</v>
      </c>
      <c r="M116" s="6" t="s">
        <v>2784</v>
      </c>
      <c r="N116" s="1">
        <v>34</v>
      </c>
      <c r="O116" s="1">
        <v>34</v>
      </c>
      <c r="P116">
        <v>2019</v>
      </c>
      <c r="Q11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6" s="1" t="s">
        <v>2779</v>
      </c>
    </row>
    <row r="117" spans="1:18" x14ac:dyDescent="0.25">
      <c r="A117" t="s">
        <v>1376</v>
      </c>
      <c r="B117" t="s">
        <v>1377</v>
      </c>
      <c r="C117" s="1">
        <v>2933</v>
      </c>
      <c r="I117" s="1">
        <v>0</v>
      </c>
      <c r="J117" s="1">
        <v>0</v>
      </c>
      <c r="K117" s="1">
        <v>8</v>
      </c>
      <c r="L117" s="1">
        <v>8</v>
      </c>
      <c r="M117" s="6">
        <f>(Table2[[#This Row],[Grand Total of Lead Service Lines Replaced]]/(Table2[[#This Row],[Total to be identified or replaced]]+Table2[[#This Row],[Grand Total of Lead Service Lines Replaced]]))</f>
        <v>0</v>
      </c>
      <c r="N117" s="1">
        <v>1208</v>
      </c>
      <c r="O117" s="1">
        <v>1216</v>
      </c>
      <c r="P117" t="s">
        <v>2778</v>
      </c>
      <c r="Q11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7" s="1" t="s">
        <v>2783</v>
      </c>
    </row>
    <row r="118" spans="1:18" x14ac:dyDescent="0.25">
      <c r="A118" t="s">
        <v>465</v>
      </c>
      <c r="B118" t="s">
        <v>466</v>
      </c>
      <c r="C118" s="1">
        <v>622</v>
      </c>
      <c r="I118" s="1">
        <v>0</v>
      </c>
      <c r="J118" s="1">
        <v>0</v>
      </c>
      <c r="K118" s="1">
        <v>0</v>
      </c>
      <c r="L118" s="1">
        <v>0</v>
      </c>
      <c r="M118" s="6" t="s">
        <v>2784</v>
      </c>
      <c r="N118" s="1">
        <v>244</v>
      </c>
      <c r="O118" s="1">
        <v>244</v>
      </c>
      <c r="P118" t="s">
        <v>2778</v>
      </c>
      <c r="Q11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8" s="1" t="s">
        <v>2779</v>
      </c>
    </row>
    <row r="119" spans="1:18" x14ac:dyDescent="0.25">
      <c r="A119" t="s">
        <v>1098</v>
      </c>
      <c r="B119" t="s">
        <v>1099</v>
      </c>
      <c r="C119" s="1">
        <v>585</v>
      </c>
      <c r="I119" s="1">
        <v>0</v>
      </c>
      <c r="J119" s="1">
        <v>0</v>
      </c>
      <c r="K119" s="1">
        <v>186</v>
      </c>
      <c r="L119" s="1">
        <v>186</v>
      </c>
      <c r="M119" s="6">
        <f>(Table2[[#This Row],[Grand Total of Lead Service Lines Replaced]]/(Table2[[#This Row],[Total to be identified or replaced]]+Table2[[#This Row],[Grand Total of Lead Service Lines Replaced]]))</f>
        <v>0</v>
      </c>
      <c r="N119" s="1">
        <v>50</v>
      </c>
      <c r="O119" s="1">
        <v>236</v>
      </c>
      <c r="P119" t="s">
        <v>2778</v>
      </c>
      <c r="Q11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9" s="1" t="s">
        <v>2783</v>
      </c>
    </row>
    <row r="120" spans="1:18" x14ac:dyDescent="0.25">
      <c r="A120" t="s">
        <v>471</v>
      </c>
      <c r="B120" t="s">
        <v>472</v>
      </c>
      <c r="C120" s="1">
        <v>888</v>
      </c>
      <c r="I120" s="1">
        <v>0</v>
      </c>
      <c r="J120" s="1">
        <v>0</v>
      </c>
      <c r="K120" s="1">
        <v>0</v>
      </c>
      <c r="L120" s="1">
        <v>0</v>
      </c>
      <c r="M120" s="6" t="s">
        <v>2784</v>
      </c>
      <c r="N120" s="1">
        <v>369</v>
      </c>
      <c r="O120" s="1">
        <v>369</v>
      </c>
      <c r="P120" t="s">
        <v>2778</v>
      </c>
      <c r="Q12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0" s="1" t="s">
        <v>2779</v>
      </c>
    </row>
    <row r="121" spans="1:18" x14ac:dyDescent="0.25">
      <c r="A121" t="s">
        <v>19</v>
      </c>
      <c r="B121" t="s">
        <v>20</v>
      </c>
      <c r="I121" s="1">
        <v>0</v>
      </c>
      <c r="J121" s="1">
        <v>0</v>
      </c>
      <c r="K121" s="1">
        <v>0</v>
      </c>
      <c r="L121" s="1">
        <v>0</v>
      </c>
      <c r="M121" s="6" t="s">
        <v>2784</v>
      </c>
      <c r="N121" s="1">
        <v>0</v>
      </c>
      <c r="O121" s="1">
        <v>0</v>
      </c>
      <c r="P121" t="s">
        <v>2778</v>
      </c>
      <c r="Q121" t="s">
        <v>2788</v>
      </c>
      <c r="R121" t="s">
        <v>2788</v>
      </c>
    </row>
    <row r="122" spans="1:18" x14ac:dyDescent="0.25">
      <c r="A122" t="s">
        <v>479</v>
      </c>
      <c r="B122" t="s">
        <v>480</v>
      </c>
      <c r="C122" s="1">
        <v>2080</v>
      </c>
      <c r="I122" s="1">
        <v>0</v>
      </c>
      <c r="J122" s="1">
        <v>0</v>
      </c>
      <c r="K122" s="1">
        <v>0</v>
      </c>
      <c r="L122" s="1">
        <v>0</v>
      </c>
      <c r="M122" s="6" t="s">
        <v>2784</v>
      </c>
      <c r="N122" s="1">
        <v>906</v>
      </c>
      <c r="O122" s="1">
        <v>906</v>
      </c>
      <c r="P122" t="s">
        <v>2778</v>
      </c>
      <c r="Q12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2" s="1" t="s">
        <v>2779</v>
      </c>
    </row>
    <row r="123" spans="1:18" x14ac:dyDescent="0.25">
      <c r="A123" t="s">
        <v>483</v>
      </c>
      <c r="B123" t="s">
        <v>484</v>
      </c>
      <c r="C123" s="1">
        <v>1555</v>
      </c>
      <c r="I123" s="1">
        <v>0</v>
      </c>
      <c r="J123" s="1">
        <v>0</v>
      </c>
      <c r="K123" s="1">
        <v>0</v>
      </c>
      <c r="L123" s="1">
        <v>0</v>
      </c>
      <c r="M123" s="6" t="s">
        <v>2784</v>
      </c>
      <c r="N123" s="1">
        <v>459</v>
      </c>
      <c r="O123" s="1">
        <v>459</v>
      </c>
      <c r="P123" t="s">
        <v>2778</v>
      </c>
      <c r="Q1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3" s="1" t="s">
        <v>2779</v>
      </c>
    </row>
    <row r="124" spans="1:18" x14ac:dyDescent="0.25">
      <c r="A124" t="s">
        <v>487</v>
      </c>
      <c r="B124" t="s">
        <v>488</v>
      </c>
      <c r="C124" s="1">
        <v>168</v>
      </c>
      <c r="I124" s="1">
        <v>0</v>
      </c>
      <c r="J124" s="1">
        <v>0</v>
      </c>
      <c r="K124" s="1">
        <v>0</v>
      </c>
      <c r="L124" s="1">
        <v>0</v>
      </c>
      <c r="M124" s="6" t="s">
        <v>2784</v>
      </c>
      <c r="N124" s="1">
        <v>67</v>
      </c>
      <c r="O124" s="1">
        <v>67</v>
      </c>
      <c r="P124" t="s">
        <v>2778</v>
      </c>
      <c r="Q12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" s="1" t="s">
        <v>2779</v>
      </c>
    </row>
    <row r="125" spans="1:18" x14ac:dyDescent="0.25">
      <c r="A125" t="s">
        <v>491</v>
      </c>
      <c r="B125" t="s">
        <v>492</v>
      </c>
      <c r="C125" s="1">
        <v>1227</v>
      </c>
      <c r="I125" s="1">
        <v>0</v>
      </c>
      <c r="J125" s="1">
        <v>0</v>
      </c>
      <c r="K125" s="1">
        <v>0</v>
      </c>
      <c r="L125" s="1">
        <v>0</v>
      </c>
      <c r="M125" s="6" t="s">
        <v>2784</v>
      </c>
      <c r="N125" s="1">
        <v>434</v>
      </c>
      <c r="O125" s="1">
        <v>434</v>
      </c>
      <c r="P125" t="s">
        <v>2778</v>
      </c>
      <c r="Q12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5" s="1" t="s">
        <v>2779</v>
      </c>
    </row>
    <row r="126" spans="1:18" x14ac:dyDescent="0.25">
      <c r="A126" t="s">
        <v>451</v>
      </c>
      <c r="B126" t="s">
        <v>452</v>
      </c>
      <c r="C126" s="1">
        <v>15051</v>
      </c>
      <c r="I126" s="1">
        <v>1422</v>
      </c>
      <c r="J126" s="1">
        <v>116</v>
      </c>
      <c r="K126" s="1">
        <v>0</v>
      </c>
      <c r="L126" s="1">
        <v>1538</v>
      </c>
      <c r="M126" s="6">
        <f>(Table2[[#This Row],[Grand Total of Lead Service Lines Replaced]]/(Table2[[#This Row],[Total to be identified or replaced]]+Table2[[#This Row],[Grand Total of Lead Service Lines Replaced]]))</f>
        <v>0</v>
      </c>
      <c r="N126" s="1">
        <v>3225</v>
      </c>
      <c r="O126" s="1">
        <v>4763</v>
      </c>
      <c r="P126" t="s">
        <v>2778</v>
      </c>
      <c r="Q12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6" s="1" t="s">
        <v>2783</v>
      </c>
    </row>
    <row r="127" spans="1:18" x14ac:dyDescent="0.25">
      <c r="A127" t="s">
        <v>497</v>
      </c>
      <c r="B127" t="s">
        <v>498</v>
      </c>
      <c r="I127" s="1">
        <v>0</v>
      </c>
      <c r="J127" s="1">
        <v>0</v>
      </c>
      <c r="K127" s="1">
        <v>0</v>
      </c>
      <c r="L127" s="1">
        <v>0</v>
      </c>
      <c r="M127" s="6" t="s">
        <v>2784</v>
      </c>
      <c r="N127" s="1">
        <v>1</v>
      </c>
      <c r="O127" s="1">
        <v>1</v>
      </c>
      <c r="P127" t="s">
        <v>2778</v>
      </c>
      <c r="Q12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7" s="1" t="s">
        <v>2779</v>
      </c>
    </row>
    <row r="128" spans="1:18" x14ac:dyDescent="0.25">
      <c r="A128" t="s">
        <v>501</v>
      </c>
      <c r="B128" t="s">
        <v>502</v>
      </c>
      <c r="C128" s="1">
        <v>110</v>
      </c>
      <c r="I128" s="1">
        <v>0</v>
      </c>
      <c r="J128" s="1">
        <v>0</v>
      </c>
      <c r="K128" s="1">
        <v>0</v>
      </c>
      <c r="L128" s="1">
        <v>0</v>
      </c>
      <c r="M128" s="6" t="s">
        <v>2784</v>
      </c>
      <c r="N128" s="1">
        <v>101</v>
      </c>
      <c r="O128" s="1">
        <v>101</v>
      </c>
      <c r="P128" t="s">
        <v>2778</v>
      </c>
      <c r="Q12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8" s="1" t="s">
        <v>2779</v>
      </c>
    </row>
    <row r="129" spans="1:18" x14ac:dyDescent="0.25">
      <c r="A129" t="s">
        <v>639</v>
      </c>
      <c r="B129" t="s">
        <v>640</v>
      </c>
      <c r="C129" s="1">
        <v>2929</v>
      </c>
      <c r="I129" s="1">
        <v>1</v>
      </c>
      <c r="J129" s="1">
        <v>0</v>
      </c>
      <c r="K129" s="1">
        <v>689</v>
      </c>
      <c r="L129" s="1">
        <v>690</v>
      </c>
      <c r="M129" s="6">
        <f>(Table2[[#This Row],[Grand Total of Lead Service Lines Replaced]]/(Table2[[#This Row],[Total to be identified or replaced]]+Table2[[#This Row],[Grand Total of Lead Service Lines Replaced]]))</f>
        <v>0</v>
      </c>
      <c r="N129" s="1">
        <v>429</v>
      </c>
      <c r="O129" s="1">
        <v>1119</v>
      </c>
      <c r="P129" t="s">
        <v>2778</v>
      </c>
      <c r="Q12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9" s="1" t="s">
        <v>2783</v>
      </c>
    </row>
    <row r="130" spans="1:18" x14ac:dyDescent="0.25">
      <c r="A130" t="s">
        <v>509</v>
      </c>
      <c r="B130" t="s">
        <v>510</v>
      </c>
      <c r="C130" s="1">
        <v>2788</v>
      </c>
      <c r="I130" s="1">
        <v>0</v>
      </c>
      <c r="J130" s="1">
        <v>0</v>
      </c>
      <c r="K130" s="1">
        <v>0</v>
      </c>
      <c r="L130" s="1">
        <v>0</v>
      </c>
      <c r="M130" s="6" t="s">
        <v>2784</v>
      </c>
      <c r="N130" s="1">
        <v>1583</v>
      </c>
      <c r="O130" s="1">
        <v>1583</v>
      </c>
      <c r="P130" t="s">
        <v>2778</v>
      </c>
      <c r="Q1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0" s="1" t="s">
        <v>2779</v>
      </c>
    </row>
    <row r="131" spans="1:18" x14ac:dyDescent="0.25">
      <c r="A131" t="s">
        <v>1470</v>
      </c>
      <c r="B131" t="s">
        <v>1471</v>
      </c>
      <c r="C131" s="1">
        <v>133</v>
      </c>
      <c r="I131" s="1">
        <v>0</v>
      </c>
      <c r="J131" s="1">
        <v>0</v>
      </c>
      <c r="K131" s="1">
        <v>76</v>
      </c>
      <c r="L131" s="1">
        <v>76</v>
      </c>
      <c r="M131" s="6">
        <f>(Table2[[#This Row],[Grand Total of Lead Service Lines Replaced]]/(Table2[[#This Row],[Total to be identified or replaced]]+Table2[[#This Row],[Grand Total of Lead Service Lines Replaced]]))</f>
        <v>0</v>
      </c>
      <c r="N131" s="1">
        <v>0</v>
      </c>
      <c r="O131" s="1">
        <v>76</v>
      </c>
      <c r="P131" t="s">
        <v>2778</v>
      </c>
      <c r="Q13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1" s="1" t="s">
        <v>2783</v>
      </c>
    </row>
    <row r="132" spans="1:18" x14ac:dyDescent="0.25">
      <c r="A132" t="s">
        <v>517</v>
      </c>
      <c r="B132" t="s">
        <v>518</v>
      </c>
      <c r="C132" s="1">
        <v>3540</v>
      </c>
      <c r="I132" s="1">
        <v>0</v>
      </c>
      <c r="J132" s="1">
        <v>0</v>
      </c>
      <c r="K132" s="1">
        <v>0</v>
      </c>
      <c r="L132" s="1">
        <v>0</v>
      </c>
      <c r="M132" s="6" t="s">
        <v>2784</v>
      </c>
      <c r="N132" s="1">
        <v>1488</v>
      </c>
      <c r="O132" s="1">
        <v>1488</v>
      </c>
      <c r="P132" t="s">
        <v>2778</v>
      </c>
      <c r="Q1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2" s="1" t="s">
        <v>2779</v>
      </c>
    </row>
    <row r="133" spans="1:18" x14ac:dyDescent="0.25">
      <c r="A133" t="s">
        <v>521</v>
      </c>
      <c r="B133" t="s">
        <v>522</v>
      </c>
      <c r="C133" s="1">
        <v>41070</v>
      </c>
      <c r="D133" s="1">
        <v>9</v>
      </c>
      <c r="H133" s="1">
        <v>9</v>
      </c>
      <c r="I133" s="1">
        <v>0</v>
      </c>
      <c r="J133" s="1">
        <v>0</v>
      </c>
      <c r="K133" s="1">
        <v>0</v>
      </c>
      <c r="L133" s="1">
        <v>0</v>
      </c>
      <c r="M133" s="6">
        <f>(Table2[[#This Row],[Grand Total of Lead Service Lines Replaced]]/(Table2[[#This Row],[Total to be identified or replaced]]+Table2[[#This Row],[Grand Total of Lead Service Lines Replaced]]))</f>
        <v>1</v>
      </c>
      <c r="N133" s="1">
        <v>15150</v>
      </c>
      <c r="O133" s="1">
        <v>15150</v>
      </c>
      <c r="P133" t="s">
        <v>2778</v>
      </c>
      <c r="Q133" t="s">
        <v>2785</v>
      </c>
      <c r="R133" s="7" t="s">
        <v>2786</v>
      </c>
    </row>
    <row r="134" spans="1:18" x14ac:dyDescent="0.25">
      <c r="A134" t="s">
        <v>525</v>
      </c>
      <c r="B134" t="s">
        <v>526</v>
      </c>
      <c r="C134" s="1">
        <v>212</v>
      </c>
      <c r="I134" s="1">
        <v>0</v>
      </c>
      <c r="J134" s="1">
        <v>0</v>
      </c>
      <c r="K134" s="1">
        <v>0</v>
      </c>
      <c r="L134" s="1">
        <v>0</v>
      </c>
      <c r="M134" s="6" t="s">
        <v>2784</v>
      </c>
      <c r="N134" s="1">
        <v>70</v>
      </c>
      <c r="O134" s="1">
        <v>70</v>
      </c>
      <c r="P134" t="s">
        <v>2778</v>
      </c>
      <c r="Q13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4" s="1" t="s">
        <v>2779</v>
      </c>
    </row>
    <row r="135" spans="1:18" x14ac:dyDescent="0.25">
      <c r="A135" t="s">
        <v>529</v>
      </c>
      <c r="B135" t="s">
        <v>530</v>
      </c>
      <c r="C135" s="1">
        <v>96</v>
      </c>
      <c r="I135" s="1">
        <v>0</v>
      </c>
      <c r="J135" s="1">
        <v>0</v>
      </c>
      <c r="K135" s="1">
        <v>0</v>
      </c>
      <c r="L135" s="1">
        <v>0</v>
      </c>
      <c r="M135" s="6" t="s">
        <v>2784</v>
      </c>
      <c r="N135" s="1">
        <v>6</v>
      </c>
      <c r="O135" s="1">
        <v>6</v>
      </c>
      <c r="P135" t="s">
        <v>2778</v>
      </c>
      <c r="Q13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5" s="1" t="s">
        <v>2779</v>
      </c>
    </row>
    <row r="136" spans="1:18" x14ac:dyDescent="0.25">
      <c r="A136" t="s">
        <v>531</v>
      </c>
      <c r="B136" t="s">
        <v>532</v>
      </c>
      <c r="C136" s="1">
        <v>114</v>
      </c>
      <c r="I136" s="1">
        <v>0</v>
      </c>
      <c r="J136" s="1">
        <v>0</v>
      </c>
      <c r="K136" s="1">
        <v>0</v>
      </c>
      <c r="L136" s="1">
        <v>0</v>
      </c>
      <c r="M136" s="6" t="s">
        <v>2784</v>
      </c>
      <c r="N136" s="1">
        <v>12</v>
      </c>
      <c r="O136" s="1">
        <v>12</v>
      </c>
      <c r="P136" t="s">
        <v>2778</v>
      </c>
      <c r="Q13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6" s="1" t="s">
        <v>2779</v>
      </c>
    </row>
    <row r="137" spans="1:18" x14ac:dyDescent="0.25">
      <c r="A137" t="s">
        <v>535</v>
      </c>
      <c r="B137" t="s">
        <v>536</v>
      </c>
      <c r="C137" s="1">
        <v>3024</v>
      </c>
      <c r="I137" s="1">
        <v>0</v>
      </c>
      <c r="J137" s="1">
        <v>0</v>
      </c>
      <c r="K137" s="1">
        <v>0</v>
      </c>
      <c r="L137" s="1">
        <v>0</v>
      </c>
      <c r="M137" s="6" t="s">
        <v>2784</v>
      </c>
      <c r="N137" s="1">
        <v>1533</v>
      </c>
      <c r="O137" s="1">
        <v>1533</v>
      </c>
      <c r="P137" t="s">
        <v>2778</v>
      </c>
      <c r="Q13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7" s="1" t="s">
        <v>2779</v>
      </c>
    </row>
    <row r="138" spans="1:18" x14ac:dyDescent="0.25">
      <c r="A138" t="s">
        <v>539</v>
      </c>
      <c r="B138" t="s">
        <v>540</v>
      </c>
      <c r="C138" s="1">
        <v>54</v>
      </c>
      <c r="I138" s="1">
        <v>0</v>
      </c>
      <c r="J138" s="1">
        <v>0</v>
      </c>
      <c r="K138" s="1">
        <v>0</v>
      </c>
      <c r="L138" s="1">
        <v>0</v>
      </c>
      <c r="M138" s="6" t="s">
        <v>2784</v>
      </c>
      <c r="N138" s="1">
        <v>14</v>
      </c>
      <c r="O138" s="1">
        <v>14</v>
      </c>
      <c r="P138" t="s">
        <v>2778</v>
      </c>
      <c r="Q13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8" s="1" t="s">
        <v>2779</v>
      </c>
    </row>
    <row r="139" spans="1:18" x14ac:dyDescent="0.25">
      <c r="A139" t="s">
        <v>1372</v>
      </c>
      <c r="B139" t="s">
        <v>1373</v>
      </c>
      <c r="C139" s="1">
        <v>330</v>
      </c>
      <c r="I139" s="1">
        <v>0</v>
      </c>
      <c r="J139" s="1">
        <v>0</v>
      </c>
      <c r="K139" s="1">
        <v>104</v>
      </c>
      <c r="L139" s="1">
        <v>104</v>
      </c>
      <c r="M139" s="6">
        <f>(Table2[[#This Row],[Grand Total of Lead Service Lines Replaced]]/(Table2[[#This Row],[Total to be identified or replaced]]+Table2[[#This Row],[Grand Total of Lead Service Lines Replaced]]))</f>
        <v>0</v>
      </c>
      <c r="N139" s="1">
        <v>8</v>
      </c>
      <c r="O139" s="1">
        <v>112</v>
      </c>
      <c r="P139">
        <v>2021</v>
      </c>
      <c r="Q13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9" s="1" t="s">
        <v>2783</v>
      </c>
    </row>
    <row r="140" spans="1:18" x14ac:dyDescent="0.25">
      <c r="A140" t="s">
        <v>543</v>
      </c>
      <c r="B140" t="s">
        <v>544</v>
      </c>
      <c r="C140" s="1">
        <v>370</v>
      </c>
      <c r="I140" s="1">
        <v>0</v>
      </c>
      <c r="J140" s="1">
        <v>0</v>
      </c>
      <c r="K140" s="1">
        <v>0</v>
      </c>
      <c r="L140" s="1">
        <v>0</v>
      </c>
      <c r="M140" s="6" t="s">
        <v>2784</v>
      </c>
      <c r="N140" s="1">
        <v>160</v>
      </c>
      <c r="O140" s="1">
        <v>160</v>
      </c>
      <c r="P140" t="s">
        <v>2778</v>
      </c>
      <c r="Q1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40" s="1" t="s">
        <v>2779</v>
      </c>
    </row>
    <row r="141" spans="1:18" x14ac:dyDescent="0.25">
      <c r="A141" t="s">
        <v>1596</v>
      </c>
      <c r="B141" t="s">
        <v>1597</v>
      </c>
      <c r="C141" s="1">
        <v>48</v>
      </c>
      <c r="I141" s="1">
        <v>0</v>
      </c>
      <c r="J141" s="1">
        <v>0</v>
      </c>
      <c r="K141" s="1">
        <v>0</v>
      </c>
      <c r="L141" s="1">
        <v>0</v>
      </c>
      <c r="M141" s="6" t="s">
        <v>2784</v>
      </c>
      <c r="N141" s="1">
        <v>12</v>
      </c>
      <c r="O141" s="1">
        <v>12</v>
      </c>
      <c r="P141">
        <v>2019</v>
      </c>
      <c r="Q1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41" s="1" t="s">
        <v>2779</v>
      </c>
    </row>
    <row r="142" spans="1:18" x14ac:dyDescent="0.25">
      <c r="A142" t="s">
        <v>797</v>
      </c>
      <c r="B142" t="s">
        <v>798</v>
      </c>
      <c r="C142" s="1">
        <v>4500</v>
      </c>
      <c r="I142" s="1">
        <v>0</v>
      </c>
      <c r="J142" s="1">
        <v>0</v>
      </c>
      <c r="K142" s="1">
        <v>412</v>
      </c>
      <c r="L142" s="1">
        <v>412</v>
      </c>
      <c r="M142" s="6">
        <f>(Table2[[#This Row],[Grand Total of Lead Service Lines Replaced]]/(Table2[[#This Row],[Total to be identified or replaced]]+Table2[[#This Row],[Grand Total of Lead Service Lines Replaced]]))</f>
        <v>0</v>
      </c>
      <c r="N142" s="1">
        <v>1430</v>
      </c>
      <c r="O142" s="1">
        <v>1842</v>
      </c>
      <c r="P142" t="s">
        <v>2778</v>
      </c>
      <c r="Q14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42" s="1" t="s">
        <v>2783</v>
      </c>
    </row>
    <row r="143" spans="1:18" x14ac:dyDescent="0.25">
      <c r="A143" t="s">
        <v>1480</v>
      </c>
      <c r="B143" t="s">
        <v>1481</v>
      </c>
      <c r="C143" s="1">
        <v>65</v>
      </c>
      <c r="I143" s="1">
        <v>0</v>
      </c>
      <c r="J143" s="1">
        <v>0</v>
      </c>
      <c r="K143" s="1">
        <v>10</v>
      </c>
      <c r="L143" s="1">
        <v>10</v>
      </c>
      <c r="M143" s="6">
        <f>(Table2[[#This Row],[Grand Total of Lead Service Lines Replaced]]/(Table2[[#This Row],[Total to be identified or replaced]]+Table2[[#This Row],[Grand Total of Lead Service Lines Replaced]]))</f>
        <v>0</v>
      </c>
      <c r="N143" s="1">
        <v>15</v>
      </c>
      <c r="O143" s="1">
        <v>25</v>
      </c>
      <c r="P143" t="s">
        <v>2778</v>
      </c>
      <c r="Q14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43" s="1" t="s">
        <v>2783</v>
      </c>
    </row>
    <row r="144" spans="1:18" x14ac:dyDescent="0.25">
      <c r="A144" t="s">
        <v>557</v>
      </c>
      <c r="B144" t="s">
        <v>558</v>
      </c>
      <c r="C144" s="1">
        <v>483</v>
      </c>
      <c r="I144" s="1">
        <v>0</v>
      </c>
      <c r="J144" s="1">
        <v>0</v>
      </c>
      <c r="K144" s="1">
        <v>0</v>
      </c>
      <c r="L144" s="1">
        <v>0</v>
      </c>
      <c r="M144" s="6" t="s">
        <v>2784</v>
      </c>
      <c r="N144" s="1">
        <v>193</v>
      </c>
      <c r="O144" s="1">
        <v>193</v>
      </c>
      <c r="P144" t="s">
        <v>2778</v>
      </c>
      <c r="Q14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44" s="1" t="s">
        <v>2779</v>
      </c>
    </row>
    <row r="145" spans="1:18" x14ac:dyDescent="0.25">
      <c r="A145" t="s">
        <v>561</v>
      </c>
      <c r="B145" t="s">
        <v>562</v>
      </c>
      <c r="C145" s="1">
        <v>10104</v>
      </c>
      <c r="I145" s="1">
        <v>0</v>
      </c>
      <c r="J145" s="1">
        <v>0</v>
      </c>
      <c r="K145" s="1">
        <v>0</v>
      </c>
      <c r="L145" s="1">
        <v>0</v>
      </c>
      <c r="M145" s="6" t="s">
        <v>2784</v>
      </c>
      <c r="N145" s="1">
        <v>4111</v>
      </c>
      <c r="O145" s="1">
        <v>4111</v>
      </c>
      <c r="P145" t="s">
        <v>2778</v>
      </c>
      <c r="Q1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45" s="1" t="s">
        <v>2779</v>
      </c>
    </row>
    <row r="146" spans="1:18" x14ac:dyDescent="0.25">
      <c r="A146" t="s">
        <v>565</v>
      </c>
      <c r="B146" t="s">
        <v>566</v>
      </c>
      <c r="C146" s="1">
        <v>2291</v>
      </c>
      <c r="I146" s="1">
        <v>0</v>
      </c>
      <c r="J146" s="1">
        <v>0</v>
      </c>
      <c r="K146" s="1">
        <v>0</v>
      </c>
      <c r="L146" s="1">
        <v>0</v>
      </c>
      <c r="M146" s="6" t="s">
        <v>2784</v>
      </c>
      <c r="N146" s="1">
        <v>1131</v>
      </c>
      <c r="O146" s="1">
        <v>1131</v>
      </c>
      <c r="P146" t="s">
        <v>2778</v>
      </c>
      <c r="Q14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46" s="1" t="s">
        <v>2779</v>
      </c>
    </row>
    <row r="147" spans="1:18" x14ac:dyDescent="0.25">
      <c r="A147" t="s">
        <v>569</v>
      </c>
      <c r="B147" t="s">
        <v>570</v>
      </c>
      <c r="C147" s="1">
        <v>10210</v>
      </c>
      <c r="I147" s="1">
        <v>0</v>
      </c>
      <c r="J147" s="1">
        <v>0</v>
      </c>
      <c r="K147" s="1">
        <v>0</v>
      </c>
      <c r="L147" s="1">
        <v>0</v>
      </c>
      <c r="M147" s="6" t="s">
        <v>2784</v>
      </c>
      <c r="N147" s="1">
        <v>3983</v>
      </c>
      <c r="O147" s="1">
        <v>3983</v>
      </c>
      <c r="P147" t="s">
        <v>2778</v>
      </c>
      <c r="Q14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47" s="1" t="s">
        <v>2779</v>
      </c>
    </row>
    <row r="148" spans="1:18" x14ac:dyDescent="0.25">
      <c r="A148" t="s">
        <v>571</v>
      </c>
      <c r="B148" t="s">
        <v>572</v>
      </c>
      <c r="C148" s="1">
        <v>435</v>
      </c>
      <c r="I148" s="1">
        <v>0</v>
      </c>
      <c r="J148" s="1">
        <v>0</v>
      </c>
      <c r="K148" s="1">
        <v>0</v>
      </c>
      <c r="L148" s="1">
        <v>0</v>
      </c>
      <c r="M148" s="6" t="s">
        <v>2784</v>
      </c>
      <c r="N148" s="1">
        <v>163</v>
      </c>
      <c r="O148" s="1">
        <v>163</v>
      </c>
      <c r="P148">
        <v>2018</v>
      </c>
      <c r="Q14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48" s="1" t="s">
        <v>2779</v>
      </c>
    </row>
    <row r="149" spans="1:18" x14ac:dyDescent="0.25">
      <c r="A149" t="s">
        <v>575</v>
      </c>
      <c r="B149" t="s">
        <v>576</v>
      </c>
      <c r="C149" s="1">
        <v>611</v>
      </c>
      <c r="I149" s="1">
        <v>0</v>
      </c>
      <c r="J149" s="1">
        <v>0</v>
      </c>
      <c r="K149" s="1">
        <v>0</v>
      </c>
      <c r="L149" s="1">
        <v>0</v>
      </c>
      <c r="M149" s="6" t="s">
        <v>2784</v>
      </c>
      <c r="N149" s="1">
        <v>280</v>
      </c>
      <c r="O149" s="1">
        <v>280</v>
      </c>
      <c r="P149" t="s">
        <v>2778</v>
      </c>
      <c r="Q14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49" s="1" t="s">
        <v>2779</v>
      </c>
    </row>
    <row r="150" spans="1:18" x14ac:dyDescent="0.25">
      <c r="A150" t="s">
        <v>1484</v>
      </c>
      <c r="B150" t="s">
        <v>1485</v>
      </c>
      <c r="C150" s="1">
        <v>140</v>
      </c>
      <c r="J150" s="1">
        <v>56</v>
      </c>
      <c r="L150" s="1">
        <v>56</v>
      </c>
      <c r="M150" s="6">
        <f>(Table2[[#This Row],[Grand Total of Lead Service Lines Replaced]]/(Table2[[#This Row],[Total to be identified or replaced]]+Table2[[#This Row],[Grand Total of Lead Service Lines Replaced]]))</f>
        <v>0</v>
      </c>
      <c r="O150" s="1">
        <v>56</v>
      </c>
      <c r="P150" t="s">
        <v>2778</v>
      </c>
      <c r="Q15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50" s="1" t="s">
        <v>2783</v>
      </c>
    </row>
    <row r="151" spans="1:18" x14ac:dyDescent="0.25">
      <c r="A151" t="s">
        <v>583</v>
      </c>
      <c r="B151" t="s">
        <v>584</v>
      </c>
      <c r="C151" s="1">
        <v>105</v>
      </c>
      <c r="I151" s="1">
        <v>0</v>
      </c>
      <c r="J151" s="1">
        <v>0</v>
      </c>
      <c r="K151" s="1">
        <v>0</v>
      </c>
      <c r="L151" s="1">
        <v>0</v>
      </c>
      <c r="M151" s="6" t="s">
        <v>2784</v>
      </c>
      <c r="N151" s="1">
        <v>1</v>
      </c>
      <c r="O151" s="1">
        <v>1</v>
      </c>
      <c r="P151" t="s">
        <v>2778</v>
      </c>
      <c r="Q15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51" s="1" t="s">
        <v>2779</v>
      </c>
    </row>
    <row r="152" spans="1:18" x14ac:dyDescent="0.25">
      <c r="A152" t="s">
        <v>587</v>
      </c>
      <c r="B152" t="s">
        <v>588</v>
      </c>
      <c r="C152" s="1">
        <v>115</v>
      </c>
      <c r="I152" s="1">
        <v>0</v>
      </c>
      <c r="J152" s="1">
        <v>0</v>
      </c>
      <c r="K152" s="1">
        <v>0</v>
      </c>
      <c r="L152" s="1">
        <v>0</v>
      </c>
      <c r="M152" s="6" t="s">
        <v>2784</v>
      </c>
      <c r="N152" s="1">
        <v>152</v>
      </c>
      <c r="O152" s="1">
        <v>152</v>
      </c>
      <c r="P152" t="s">
        <v>2778</v>
      </c>
      <c r="Q1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52" s="1" t="s">
        <v>2779</v>
      </c>
    </row>
    <row r="153" spans="1:18" x14ac:dyDescent="0.25">
      <c r="A153" t="s">
        <v>591</v>
      </c>
      <c r="B153" t="s">
        <v>592</v>
      </c>
      <c r="C153" s="1">
        <v>1313</v>
      </c>
      <c r="I153" s="1">
        <v>0</v>
      </c>
      <c r="J153" s="1">
        <v>0</v>
      </c>
      <c r="K153" s="1">
        <v>0</v>
      </c>
      <c r="L153" s="1">
        <v>0</v>
      </c>
      <c r="M153" s="6" t="s">
        <v>2784</v>
      </c>
      <c r="N153" s="1">
        <v>579</v>
      </c>
      <c r="O153" s="1">
        <v>579</v>
      </c>
      <c r="P153" t="s">
        <v>2778</v>
      </c>
      <c r="Q1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53" s="1" t="s">
        <v>2779</v>
      </c>
    </row>
    <row r="154" spans="1:18" x14ac:dyDescent="0.25">
      <c r="A154" t="s">
        <v>1490</v>
      </c>
      <c r="B154" t="s">
        <v>1491</v>
      </c>
      <c r="C154" s="1">
        <v>493</v>
      </c>
      <c r="I154" s="1">
        <v>2</v>
      </c>
      <c r="J154" s="1">
        <v>87</v>
      </c>
      <c r="K154" s="1">
        <v>0</v>
      </c>
      <c r="L154" s="1">
        <v>89</v>
      </c>
      <c r="M154" s="6">
        <f>(Table2[[#This Row],[Grand Total of Lead Service Lines Replaced]]/(Table2[[#This Row],[Total to be identified or replaced]]+Table2[[#This Row],[Grand Total of Lead Service Lines Replaced]]))</f>
        <v>0</v>
      </c>
      <c r="N154" s="1">
        <v>261</v>
      </c>
      <c r="O154" s="1">
        <v>350</v>
      </c>
      <c r="P154" t="s">
        <v>2778</v>
      </c>
      <c r="Q15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54" s="1" t="s">
        <v>2783</v>
      </c>
    </row>
    <row r="155" spans="1:18" x14ac:dyDescent="0.25">
      <c r="A155" t="s">
        <v>1570</v>
      </c>
      <c r="B155" t="s">
        <v>1571</v>
      </c>
      <c r="C155" s="1">
        <v>87</v>
      </c>
      <c r="I155" s="1">
        <v>0</v>
      </c>
      <c r="J155" s="1">
        <v>0</v>
      </c>
      <c r="K155" s="1">
        <v>30</v>
      </c>
      <c r="L155" s="1">
        <v>30</v>
      </c>
      <c r="M155" s="6">
        <f>(Table2[[#This Row],[Grand Total of Lead Service Lines Replaced]]/(Table2[[#This Row],[Total to be identified or replaced]]+Table2[[#This Row],[Grand Total of Lead Service Lines Replaced]]))</f>
        <v>0</v>
      </c>
      <c r="N155" s="1">
        <v>3</v>
      </c>
      <c r="O155" s="1">
        <v>33</v>
      </c>
      <c r="P155">
        <v>2018</v>
      </c>
      <c r="Q15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55" s="1" t="s">
        <v>2783</v>
      </c>
    </row>
    <row r="156" spans="1:18" x14ac:dyDescent="0.25">
      <c r="A156" t="s">
        <v>311</v>
      </c>
      <c r="B156" t="s">
        <v>312</v>
      </c>
      <c r="C156" s="1">
        <v>354</v>
      </c>
      <c r="I156" s="1">
        <v>0</v>
      </c>
      <c r="J156" s="1">
        <v>1</v>
      </c>
      <c r="K156" s="1">
        <v>3492</v>
      </c>
      <c r="L156" s="1">
        <v>3493</v>
      </c>
      <c r="M156" s="6">
        <f>(Table2[[#This Row],[Grand Total of Lead Service Lines Replaced]]/(Table2[[#This Row],[Total to be identified or replaced]]+Table2[[#This Row],[Grand Total of Lead Service Lines Replaced]]))</f>
        <v>0</v>
      </c>
      <c r="N156" s="1">
        <v>2952</v>
      </c>
      <c r="O156" s="1">
        <v>6445</v>
      </c>
      <c r="P156" t="s">
        <v>2778</v>
      </c>
      <c r="Q15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56" s="1" t="s">
        <v>2783</v>
      </c>
    </row>
    <row r="157" spans="1:18" x14ac:dyDescent="0.25">
      <c r="A157" t="s">
        <v>607</v>
      </c>
      <c r="B157" t="s">
        <v>608</v>
      </c>
      <c r="C157" s="1">
        <v>115</v>
      </c>
      <c r="I157" s="1">
        <v>0</v>
      </c>
      <c r="J157" s="1">
        <v>0</v>
      </c>
      <c r="K157" s="1">
        <v>0</v>
      </c>
      <c r="L157" s="1">
        <v>0</v>
      </c>
      <c r="M157" s="6" t="s">
        <v>2784</v>
      </c>
      <c r="N157" s="1">
        <v>143</v>
      </c>
      <c r="O157" s="1">
        <v>143</v>
      </c>
      <c r="P157" t="s">
        <v>2778</v>
      </c>
      <c r="Q15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57" s="1" t="s">
        <v>2779</v>
      </c>
    </row>
    <row r="158" spans="1:18" x14ac:dyDescent="0.25">
      <c r="A158" t="s">
        <v>867</v>
      </c>
      <c r="B158" t="s">
        <v>868</v>
      </c>
      <c r="C158" s="1">
        <v>1800</v>
      </c>
      <c r="I158" s="1">
        <v>334</v>
      </c>
      <c r="L158" s="1">
        <v>334</v>
      </c>
      <c r="M158" s="6">
        <f>(Table2[[#This Row],[Grand Total of Lead Service Lines Replaced]]/(Table2[[#This Row],[Total to be identified or replaced]]+Table2[[#This Row],[Grand Total of Lead Service Lines Replaced]]))</f>
        <v>0</v>
      </c>
      <c r="N158" s="1">
        <v>288</v>
      </c>
      <c r="O158" s="1">
        <v>622</v>
      </c>
      <c r="P158" t="s">
        <v>2778</v>
      </c>
      <c r="Q15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58" s="1" t="s">
        <v>2783</v>
      </c>
    </row>
    <row r="159" spans="1:18" x14ac:dyDescent="0.25">
      <c r="A159" t="s">
        <v>615</v>
      </c>
      <c r="B159" t="s">
        <v>616</v>
      </c>
      <c r="C159" s="1">
        <v>529</v>
      </c>
      <c r="L159" s="1">
        <v>0</v>
      </c>
      <c r="M159" s="6" t="s">
        <v>2784</v>
      </c>
      <c r="N159" s="1">
        <v>202</v>
      </c>
      <c r="O159" s="1">
        <v>202</v>
      </c>
      <c r="P159" t="s">
        <v>2778</v>
      </c>
      <c r="Q15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59" s="1" t="s">
        <v>2779</v>
      </c>
    </row>
    <row r="160" spans="1:18" x14ac:dyDescent="0.25">
      <c r="A160" t="s">
        <v>617</v>
      </c>
      <c r="B160" t="s">
        <v>618</v>
      </c>
      <c r="C160" s="1">
        <v>79</v>
      </c>
      <c r="I160" s="1">
        <v>0</v>
      </c>
      <c r="J160" s="1">
        <v>0</v>
      </c>
      <c r="K160" s="1">
        <v>0</v>
      </c>
      <c r="L160" s="1">
        <v>0</v>
      </c>
      <c r="M160" s="6" t="s">
        <v>2784</v>
      </c>
      <c r="N160" s="1">
        <v>70</v>
      </c>
      <c r="O160" s="1">
        <v>70</v>
      </c>
      <c r="P160" t="s">
        <v>2778</v>
      </c>
      <c r="Q16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60" s="1" t="s">
        <v>2779</v>
      </c>
    </row>
    <row r="161" spans="1:18" x14ac:dyDescent="0.25">
      <c r="A161" t="s">
        <v>1616</v>
      </c>
      <c r="B161" t="s">
        <v>1617</v>
      </c>
      <c r="C161" s="1">
        <v>125</v>
      </c>
      <c r="J161" s="1">
        <v>50</v>
      </c>
      <c r="L161" s="1">
        <v>50</v>
      </c>
      <c r="M161" s="6">
        <f>(Table2[[#This Row],[Grand Total of Lead Service Lines Replaced]]/(Table2[[#This Row],[Total to be identified or replaced]]+Table2[[#This Row],[Grand Total of Lead Service Lines Replaced]]))</f>
        <v>0</v>
      </c>
      <c r="O161" s="1">
        <v>50</v>
      </c>
      <c r="P161" t="s">
        <v>2778</v>
      </c>
      <c r="Q16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61" s="1" t="s">
        <v>2783</v>
      </c>
    </row>
    <row r="162" spans="1:18" x14ac:dyDescent="0.25">
      <c r="A162" t="s">
        <v>261</v>
      </c>
      <c r="B162" t="s">
        <v>262</v>
      </c>
      <c r="C162" s="1">
        <v>15879</v>
      </c>
      <c r="J162" s="1">
        <v>5053</v>
      </c>
      <c r="L162" s="1">
        <v>5053</v>
      </c>
      <c r="M162" s="6">
        <f>(Table2[[#This Row],[Grand Total of Lead Service Lines Replaced]]/(Table2[[#This Row],[Total to be identified or replaced]]+Table2[[#This Row],[Grand Total of Lead Service Lines Replaced]]))</f>
        <v>0</v>
      </c>
      <c r="O162" s="1">
        <v>5053</v>
      </c>
      <c r="P162" t="s">
        <v>2778</v>
      </c>
      <c r="Q16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62" s="1" t="s">
        <v>2783</v>
      </c>
    </row>
    <row r="163" spans="1:18" x14ac:dyDescent="0.25">
      <c r="A163" t="s">
        <v>627</v>
      </c>
      <c r="B163" t="s">
        <v>628</v>
      </c>
      <c r="C163" s="1">
        <v>411</v>
      </c>
      <c r="I163" s="1">
        <v>0</v>
      </c>
      <c r="J163" s="1">
        <v>0</v>
      </c>
      <c r="K163" s="1">
        <v>0</v>
      </c>
      <c r="L163" s="1">
        <v>0</v>
      </c>
      <c r="M163" s="6" t="s">
        <v>2784</v>
      </c>
      <c r="N163" s="1">
        <v>324</v>
      </c>
      <c r="O163" s="1">
        <v>324</v>
      </c>
      <c r="P163" t="s">
        <v>2778</v>
      </c>
      <c r="Q1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63" s="1" t="s">
        <v>2779</v>
      </c>
    </row>
    <row r="164" spans="1:18" x14ac:dyDescent="0.25">
      <c r="A164" t="s">
        <v>629</v>
      </c>
      <c r="B164" t="s">
        <v>630</v>
      </c>
      <c r="C164" s="1">
        <v>42</v>
      </c>
      <c r="I164" s="1">
        <v>0</v>
      </c>
      <c r="J164" s="1">
        <v>0</v>
      </c>
      <c r="K164" s="1">
        <v>0</v>
      </c>
      <c r="L164" s="1">
        <v>0</v>
      </c>
      <c r="M164" s="6" t="s">
        <v>2784</v>
      </c>
      <c r="N164" s="1">
        <v>5</v>
      </c>
      <c r="O164" s="1">
        <v>5</v>
      </c>
      <c r="P164" t="s">
        <v>2778</v>
      </c>
      <c r="Q16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64" s="1" t="s">
        <v>2779</v>
      </c>
    </row>
    <row r="165" spans="1:18" x14ac:dyDescent="0.25">
      <c r="A165" t="s">
        <v>633</v>
      </c>
      <c r="B165" t="s">
        <v>634</v>
      </c>
      <c r="C165" s="1">
        <v>2900</v>
      </c>
      <c r="I165" s="1">
        <v>0</v>
      </c>
      <c r="J165" s="1">
        <v>0</v>
      </c>
      <c r="K165" s="1">
        <v>0</v>
      </c>
      <c r="L165" s="1">
        <v>0</v>
      </c>
      <c r="M165" s="6" t="s">
        <v>2784</v>
      </c>
      <c r="N165" s="1">
        <v>1237</v>
      </c>
      <c r="O165" s="1">
        <v>1237</v>
      </c>
      <c r="P165" t="s">
        <v>2778</v>
      </c>
      <c r="Q16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65" s="1" t="s">
        <v>2779</v>
      </c>
    </row>
    <row r="166" spans="1:18" x14ac:dyDescent="0.25">
      <c r="A166" t="s">
        <v>637</v>
      </c>
      <c r="B166" t="s">
        <v>638</v>
      </c>
      <c r="C166" s="1">
        <v>21000</v>
      </c>
      <c r="I166" s="1">
        <v>0</v>
      </c>
      <c r="J166" s="1">
        <v>0</v>
      </c>
      <c r="K166" s="1">
        <v>0</v>
      </c>
      <c r="L166" s="1">
        <v>0</v>
      </c>
      <c r="M166" s="6" t="s">
        <v>2784</v>
      </c>
      <c r="N166" s="1">
        <v>6751</v>
      </c>
      <c r="O166" s="1">
        <v>6751</v>
      </c>
      <c r="P166" t="s">
        <v>2778</v>
      </c>
      <c r="Q16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66" s="1" t="s">
        <v>2779</v>
      </c>
    </row>
    <row r="167" spans="1:18" x14ac:dyDescent="0.25">
      <c r="A167" t="s">
        <v>641</v>
      </c>
      <c r="B167" t="s">
        <v>642</v>
      </c>
      <c r="C167" s="1">
        <v>40</v>
      </c>
      <c r="I167" s="1">
        <v>0</v>
      </c>
      <c r="J167" s="1">
        <v>0</v>
      </c>
      <c r="K167" s="1">
        <v>0</v>
      </c>
      <c r="L167" s="1">
        <v>0</v>
      </c>
      <c r="M167" s="6" t="s">
        <v>2784</v>
      </c>
      <c r="N167" s="1">
        <v>26</v>
      </c>
      <c r="O167" s="1">
        <v>70</v>
      </c>
      <c r="P167" t="s">
        <v>2778</v>
      </c>
      <c r="Q167" s="8" t="s">
        <v>2787</v>
      </c>
      <c r="R167" s="1" t="s">
        <v>2782</v>
      </c>
    </row>
    <row r="168" spans="1:18" x14ac:dyDescent="0.25">
      <c r="A168" t="s">
        <v>645</v>
      </c>
      <c r="B168" t="s">
        <v>646</v>
      </c>
      <c r="C168" s="1">
        <v>65</v>
      </c>
      <c r="I168" s="1">
        <v>0</v>
      </c>
      <c r="J168" s="1">
        <v>0</v>
      </c>
      <c r="K168" s="1">
        <v>0</v>
      </c>
      <c r="L168" s="1">
        <v>0</v>
      </c>
      <c r="M168" s="6" t="s">
        <v>2784</v>
      </c>
      <c r="N168" s="1">
        <v>35</v>
      </c>
      <c r="O168" s="1">
        <v>35</v>
      </c>
      <c r="P168" t="s">
        <v>2778</v>
      </c>
      <c r="Q16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68" s="1" t="s">
        <v>2779</v>
      </c>
    </row>
    <row r="169" spans="1:18" x14ac:dyDescent="0.25">
      <c r="A169" t="s">
        <v>649</v>
      </c>
      <c r="B169" t="s">
        <v>650</v>
      </c>
      <c r="C169" s="1">
        <v>40</v>
      </c>
      <c r="L169" s="1">
        <v>0</v>
      </c>
      <c r="M169" s="6" t="s">
        <v>2784</v>
      </c>
      <c r="N169" s="1">
        <v>105</v>
      </c>
      <c r="O169" s="1">
        <v>105</v>
      </c>
      <c r="P169" t="s">
        <v>2778</v>
      </c>
      <c r="Q16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69" s="1" t="s">
        <v>2779</v>
      </c>
    </row>
    <row r="170" spans="1:18" x14ac:dyDescent="0.25">
      <c r="A170" t="s">
        <v>1630</v>
      </c>
      <c r="B170" t="s">
        <v>1631</v>
      </c>
      <c r="C170" s="1">
        <v>50</v>
      </c>
      <c r="I170" s="1">
        <v>0</v>
      </c>
      <c r="J170" s="1">
        <v>23</v>
      </c>
      <c r="L170" s="1">
        <v>23</v>
      </c>
      <c r="M170" s="6">
        <f>(Table2[[#This Row],[Grand Total of Lead Service Lines Replaced]]/(Table2[[#This Row],[Total to be identified or replaced]]+Table2[[#This Row],[Grand Total of Lead Service Lines Replaced]]))</f>
        <v>0</v>
      </c>
      <c r="N170" s="1">
        <v>6</v>
      </c>
      <c r="O170" s="1">
        <v>29</v>
      </c>
      <c r="P170" t="s">
        <v>2778</v>
      </c>
      <c r="Q17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70" s="1" t="s">
        <v>2783</v>
      </c>
    </row>
    <row r="171" spans="1:18" x14ac:dyDescent="0.25">
      <c r="A171" t="s">
        <v>655</v>
      </c>
      <c r="B171" t="s">
        <v>656</v>
      </c>
      <c r="C171" s="1">
        <v>37464</v>
      </c>
      <c r="I171" s="1">
        <v>0</v>
      </c>
      <c r="J171" s="1">
        <v>0</v>
      </c>
      <c r="K171" s="1">
        <v>0</v>
      </c>
      <c r="L171" s="1">
        <v>0</v>
      </c>
      <c r="M171" s="6" t="s">
        <v>2784</v>
      </c>
      <c r="N171" s="1">
        <v>12600</v>
      </c>
      <c r="O171" s="1">
        <v>12600</v>
      </c>
      <c r="P171" t="s">
        <v>2778</v>
      </c>
      <c r="Q17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71" s="1" t="s">
        <v>2779</v>
      </c>
    </row>
    <row r="172" spans="1:18" x14ac:dyDescent="0.25">
      <c r="A172" t="s">
        <v>659</v>
      </c>
      <c r="B172" t="s">
        <v>660</v>
      </c>
      <c r="C172" s="1">
        <v>70</v>
      </c>
      <c r="I172" s="1">
        <v>0</v>
      </c>
      <c r="J172" s="1">
        <v>0</v>
      </c>
      <c r="K172" s="1">
        <v>0</v>
      </c>
      <c r="L172" s="1">
        <v>0</v>
      </c>
      <c r="M172" s="6" t="s">
        <v>2784</v>
      </c>
      <c r="N172" s="1">
        <v>27</v>
      </c>
      <c r="O172" s="1">
        <v>27</v>
      </c>
      <c r="P172" t="s">
        <v>2778</v>
      </c>
      <c r="Q17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72" s="1" t="s">
        <v>2779</v>
      </c>
    </row>
    <row r="173" spans="1:18" x14ac:dyDescent="0.25">
      <c r="A173" t="s">
        <v>663</v>
      </c>
      <c r="B173" t="s">
        <v>664</v>
      </c>
      <c r="C173" s="1">
        <v>344</v>
      </c>
      <c r="I173" s="1">
        <v>0</v>
      </c>
      <c r="J173" s="1">
        <v>0</v>
      </c>
      <c r="K173" s="1">
        <v>0</v>
      </c>
      <c r="L173" s="1">
        <v>0</v>
      </c>
      <c r="M173" s="6" t="s">
        <v>2784</v>
      </c>
      <c r="N173" s="1">
        <v>226</v>
      </c>
      <c r="O173" s="1">
        <v>226</v>
      </c>
      <c r="P173" t="s">
        <v>2778</v>
      </c>
      <c r="Q1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73" s="1" t="s">
        <v>2779</v>
      </c>
    </row>
    <row r="174" spans="1:18" x14ac:dyDescent="0.25">
      <c r="A174" t="s">
        <v>315</v>
      </c>
      <c r="B174" t="s">
        <v>316</v>
      </c>
      <c r="C174" s="1">
        <v>11790</v>
      </c>
      <c r="I174" s="1">
        <v>0</v>
      </c>
      <c r="J174" s="1">
        <v>1</v>
      </c>
      <c r="K174" s="1">
        <v>3492</v>
      </c>
      <c r="L174" s="1">
        <v>3493</v>
      </c>
      <c r="M174" s="6">
        <f>(Table2[[#This Row],[Grand Total of Lead Service Lines Replaced]]/(Table2[[#This Row],[Total to be identified or replaced]]+Table2[[#This Row],[Grand Total of Lead Service Lines Replaced]]))</f>
        <v>0</v>
      </c>
      <c r="N174" s="1">
        <v>2952</v>
      </c>
      <c r="O174" s="1">
        <v>6445</v>
      </c>
      <c r="P174" t="s">
        <v>2778</v>
      </c>
      <c r="Q17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74" s="1" t="s">
        <v>2783</v>
      </c>
    </row>
    <row r="175" spans="1:18" x14ac:dyDescent="0.25">
      <c r="A175" t="s">
        <v>669</v>
      </c>
      <c r="B175" t="s">
        <v>670</v>
      </c>
      <c r="C175" s="1">
        <v>160</v>
      </c>
      <c r="I175" s="1">
        <v>0</v>
      </c>
      <c r="J175" s="1">
        <v>0</v>
      </c>
      <c r="K175" s="1">
        <v>0</v>
      </c>
      <c r="L175" s="1">
        <v>0</v>
      </c>
      <c r="M175" s="6" t="s">
        <v>2784</v>
      </c>
      <c r="N175" s="1">
        <v>5</v>
      </c>
      <c r="O175" s="1">
        <v>5</v>
      </c>
      <c r="P175" t="s">
        <v>2778</v>
      </c>
      <c r="Q17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75" s="1" t="s">
        <v>2779</v>
      </c>
    </row>
    <row r="176" spans="1:18" x14ac:dyDescent="0.25">
      <c r="A176" t="s">
        <v>673</v>
      </c>
      <c r="B176" t="s">
        <v>674</v>
      </c>
      <c r="C176" s="1">
        <v>4573</v>
      </c>
      <c r="I176" s="1">
        <v>0</v>
      </c>
      <c r="J176" s="1">
        <v>0</v>
      </c>
      <c r="K176" s="1">
        <v>0</v>
      </c>
      <c r="L176" s="1">
        <v>0</v>
      </c>
      <c r="M176" s="6" t="s">
        <v>2784</v>
      </c>
      <c r="N176" s="1">
        <v>1553</v>
      </c>
      <c r="O176" s="1">
        <v>1553</v>
      </c>
      <c r="P176" t="s">
        <v>2778</v>
      </c>
      <c r="Q17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76" s="1" t="s">
        <v>2779</v>
      </c>
    </row>
    <row r="177" spans="1:18" x14ac:dyDescent="0.25">
      <c r="A177" t="s">
        <v>1054</v>
      </c>
      <c r="B177" t="s">
        <v>1055</v>
      </c>
      <c r="C177" s="1">
        <v>2148</v>
      </c>
      <c r="I177" s="1">
        <v>126</v>
      </c>
      <c r="J177" s="1">
        <v>6</v>
      </c>
      <c r="K177" s="1">
        <v>68</v>
      </c>
      <c r="L177" s="1">
        <v>200</v>
      </c>
      <c r="M177" s="6">
        <f>(Table2[[#This Row],[Grand Total of Lead Service Lines Replaced]]/(Table2[[#This Row],[Total to be identified or replaced]]+Table2[[#This Row],[Grand Total of Lead Service Lines Replaced]]))</f>
        <v>0</v>
      </c>
      <c r="N177" s="1">
        <v>725</v>
      </c>
      <c r="O177" s="1">
        <v>925</v>
      </c>
      <c r="P177" t="s">
        <v>2778</v>
      </c>
      <c r="Q17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77" s="1" t="s">
        <v>2783</v>
      </c>
    </row>
    <row r="178" spans="1:18" x14ac:dyDescent="0.25">
      <c r="A178" t="s">
        <v>1694</v>
      </c>
      <c r="B178" t="s">
        <v>1695</v>
      </c>
      <c r="C178" s="1">
        <v>3000</v>
      </c>
      <c r="I178" s="1">
        <v>3</v>
      </c>
      <c r="J178" s="1">
        <v>0</v>
      </c>
      <c r="K178" s="1">
        <v>0</v>
      </c>
      <c r="L178" s="1">
        <v>3</v>
      </c>
      <c r="M178" s="6">
        <f>(Table2[[#This Row],[Grand Total of Lead Service Lines Replaced]]/(Table2[[#This Row],[Total to be identified or replaced]]+Table2[[#This Row],[Grand Total of Lead Service Lines Replaced]]))</f>
        <v>0</v>
      </c>
      <c r="N178" s="1">
        <v>789</v>
      </c>
      <c r="O178" s="1">
        <v>792</v>
      </c>
      <c r="P178" t="s">
        <v>2778</v>
      </c>
      <c r="Q17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78" s="1" t="s">
        <v>2783</v>
      </c>
    </row>
    <row r="179" spans="1:18" x14ac:dyDescent="0.25">
      <c r="A179" t="s">
        <v>681</v>
      </c>
      <c r="B179" t="s">
        <v>682</v>
      </c>
      <c r="C179" s="1">
        <v>80</v>
      </c>
      <c r="I179" s="1">
        <v>0</v>
      </c>
      <c r="J179" s="1">
        <v>0</v>
      </c>
      <c r="K179" s="1">
        <v>0</v>
      </c>
      <c r="L179" s="1">
        <v>0</v>
      </c>
      <c r="M179" s="6" t="s">
        <v>2784</v>
      </c>
      <c r="N179" s="1">
        <v>2</v>
      </c>
      <c r="O179" s="1">
        <v>2</v>
      </c>
      <c r="P179" t="s">
        <v>2778</v>
      </c>
      <c r="Q1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79" s="1" t="s">
        <v>2779</v>
      </c>
    </row>
    <row r="180" spans="1:18" x14ac:dyDescent="0.25">
      <c r="A180" t="s">
        <v>685</v>
      </c>
      <c r="B180" t="s">
        <v>686</v>
      </c>
      <c r="C180" s="1">
        <v>512</v>
      </c>
      <c r="I180" s="1">
        <v>0</v>
      </c>
      <c r="J180" s="1">
        <v>0</v>
      </c>
      <c r="K180" s="1">
        <v>0</v>
      </c>
      <c r="L180" s="1">
        <v>0</v>
      </c>
      <c r="M180" s="6" t="s">
        <v>2784</v>
      </c>
      <c r="N180" s="1">
        <v>236</v>
      </c>
      <c r="O180" s="1">
        <v>236</v>
      </c>
      <c r="P180" t="s">
        <v>2778</v>
      </c>
      <c r="Q18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80" s="1" t="s">
        <v>2779</v>
      </c>
    </row>
    <row r="181" spans="1:18" x14ac:dyDescent="0.25">
      <c r="A181" t="s">
        <v>689</v>
      </c>
      <c r="B181" t="s">
        <v>690</v>
      </c>
      <c r="C181" s="1">
        <v>400</v>
      </c>
      <c r="I181" s="1">
        <v>0</v>
      </c>
      <c r="J181" s="1">
        <v>0</v>
      </c>
      <c r="K181" s="1">
        <v>0</v>
      </c>
      <c r="L181" s="1">
        <v>0</v>
      </c>
      <c r="M181" s="6" t="s">
        <v>2784</v>
      </c>
      <c r="N181" s="1">
        <v>59</v>
      </c>
      <c r="O181" s="1">
        <v>59</v>
      </c>
      <c r="P181" t="s">
        <v>2778</v>
      </c>
      <c r="Q1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81" s="1" t="s">
        <v>2779</v>
      </c>
    </row>
    <row r="182" spans="1:18" x14ac:dyDescent="0.25">
      <c r="A182" t="s">
        <v>693</v>
      </c>
      <c r="B182" t="s">
        <v>694</v>
      </c>
      <c r="C182" s="1">
        <v>350</v>
      </c>
      <c r="I182" s="1">
        <v>0</v>
      </c>
      <c r="J182" s="1">
        <v>0</v>
      </c>
      <c r="K182" s="1">
        <v>0</v>
      </c>
      <c r="L182" s="1">
        <v>0</v>
      </c>
      <c r="M182" s="6" t="s">
        <v>2784</v>
      </c>
      <c r="N182" s="1">
        <v>290</v>
      </c>
      <c r="O182" s="1">
        <v>290</v>
      </c>
      <c r="P182" t="s">
        <v>2778</v>
      </c>
      <c r="Q18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82" s="1" t="s">
        <v>2779</v>
      </c>
    </row>
    <row r="183" spans="1:18" x14ac:dyDescent="0.25">
      <c r="A183" t="s">
        <v>697</v>
      </c>
      <c r="B183" t="s">
        <v>698</v>
      </c>
      <c r="C183" s="1">
        <v>99627</v>
      </c>
      <c r="I183" s="1">
        <v>0</v>
      </c>
      <c r="J183" s="1">
        <v>0</v>
      </c>
      <c r="K183" s="1">
        <v>0</v>
      </c>
      <c r="L183" s="1">
        <v>0</v>
      </c>
      <c r="M183" s="6" t="s">
        <v>2784</v>
      </c>
      <c r="N183" s="1">
        <v>26626</v>
      </c>
      <c r="O183" s="1">
        <v>26626</v>
      </c>
      <c r="P183" t="s">
        <v>2778</v>
      </c>
      <c r="Q18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83" s="1" t="s">
        <v>2779</v>
      </c>
    </row>
    <row r="184" spans="1:18" x14ac:dyDescent="0.25">
      <c r="A184" t="s">
        <v>699</v>
      </c>
      <c r="B184" t="s">
        <v>700</v>
      </c>
      <c r="C184" s="1">
        <v>1775</v>
      </c>
      <c r="I184" s="1">
        <v>0</v>
      </c>
      <c r="J184" s="1">
        <v>0</v>
      </c>
      <c r="K184" s="1">
        <v>0</v>
      </c>
      <c r="L184" s="1">
        <v>0</v>
      </c>
      <c r="M184" s="6" t="s">
        <v>2784</v>
      </c>
      <c r="N184" s="1">
        <v>692</v>
      </c>
      <c r="O184" s="1">
        <v>692</v>
      </c>
      <c r="P184" t="s">
        <v>2778</v>
      </c>
      <c r="Q18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84" s="1" t="s">
        <v>2779</v>
      </c>
    </row>
    <row r="185" spans="1:18" x14ac:dyDescent="0.25">
      <c r="A185" t="s">
        <v>703</v>
      </c>
      <c r="B185" t="s">
        <v>704</v>
      </c>
      <c r="C185" s="1">
        <v>345</v>
      </c>
      <c r="I185" s="1">
        <v>0</v>
      </c>
      <c r="J185" s="1">
        <v>0</v>
      </c>
      <c r="K185" s="1">
        <v>0</v>
      </c>
      <c r="L185" s="1">
        <v>0</v>
      </c>
      <c r="M185" s="6" t="s">
        <v>2784</v>
      </c>
      <c r="N185" s="1">
        <v>299</v>
      </c>
      <c r="O185" s="1">
        <v>299</v>
      </c>
      <c r="P185" t="s">
        <v>2778</v>
      </c>
      <c r="Q18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85" s="1" t="s">
        <v>2779</v>
      </c>
    </row>
    <row r="186" spans="1:18" x14ac:dyDescent="0.25">
      <c r="A186" t="s">
        <v>707</v>
      </c>
      <c r="B186" t="s">
        <v>708</v>
      </c>
      <c r="C186" s="1">
        <v>200</v>
      </c>
      <c r="I186" s="1">
        <v>0</v>
      </c>
      <c r="J186" s="1">
        <v>0</v>
      </c>
      <c r="K186" s="1">
        <v>0</v>
      </c>
      <c r="L186" s="1">
        <v>0</v>
      </c>
      <c r="M186" s="6" t="s">
        <v>2784</v>
      </c>
      <c r="N186" s="1">
        <v>87</v>
      </c>
      <c r="O186" s="1">
        <v>87</v>
      </c>
      <c r="P186" t="s">
        <v>2778</v>
      </c>
      <c r="Q18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86" s="1" t="s">
        <v>2779</v>
      </c>
    </row>
    <row r="187" spans="1:18" x14ac:dyDescent="0.25">
      <c r="A187" t="s">
        <v>709</v>
      </c>
      <c r="B187" t="s">
        <v>710</v>
      </c>
      <c r="C187" s="1">
        <v>175</v>
      </c>
      <c r="I187" s="1">
        <v>0</v>
      </c>
      <c r="J187" s="1">
        <v>0</v>
      </c>
      <c r="K187" s="1">
        <v>0</v>
      </c>
      <c r="L187" s="1">
        <v>0</v>
      </c>
      <c r="M187" s="6" t="s">
        <v>2784</v>
      </c>
      <c r="N187" s="1">
        <v>98</v>
      </c>
      <c r="O187" s="1">
        <v>98</v>
      </c>
      <c r="P187" t="s">
        <v>2778</v>
      </c>
      <c r="Q18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87" s="1" t="s">
        <v>2779</v>
      </c>
    </row>
    <row r="188" spans="1:18" x14ac:dyDescent="0.25">
      <c r="A188" t="s">
        <v>661</v>
      </c>
      <c r="B188" t="s">
        <v>662</v>
      </c>
      <c r="C188" s="1">
        <v>2020</v>
      </c>
      <c r="I188" s="1">
        <v>0</v>
      </c>
      <c r="J188" s="1">
        <v>629</v>
      </c>
      <c r="K188" s="1">
        <v>0</v>
      </c>
      <c r="L188" s="1">
        <v>629</v>
      </c>
      <c r="M188" s="6">
        <f>(Table2[[#This Row],[Grand Total of Lead Service Lines Replaced]]/(Table2[[#This Row],[Total to be identified or replaced]]+Table2[[#This Row],[Grand Total of Lead Service Lines Replaced]]))</f>
        <v>0</v>
      </c>
      <c r="N188" s="1">
        <v>243</v>
      </c>
      <c r="O188" s="1">
        <v>872</v>
      </c>
      <c r="P188" t="s">
        <v>2778</v>
      </c>
      <c r="Q18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88" s="1" t="s">
        <v>2783</v>
      </c>
    </row>
    <row r="189" spans="1:18" x14ac:dyDescent="0.25">
      <c r="A189" t="s">
        <v>1660</v>
      </c>
      <c r="B189" t="s">
        <v>1661</v>
      </c>
      <c r="C189" s="1">
        <v>185</v>
      </c>
      <c r="J189" s="1">
        <v>74</v>
      </c>
      <c r="L189" s="1">
        <v>74</v>
      </c>
      <c r="M189" s="6">
        <f>(Table2[[#This Row],[Grand Total of Lead Service Lines Replaced]]/(Table2[[#This Row],[Total to be identified or replaced]]+Table2[[#This Row],[Grand Total of Lead Service Lines Replaced]]))</f>
        <v>0</v>
      </c>
      <c r="O189" s="1">
        <v>74</v>
      </c>
      <c r="P189" t="s">
        <v>2778</v>
      </c>
      <c r="Q18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89" s="1" t="s">
        <v>2783</v>
      </c>
    </row>
    <row r="190" spans="1:18" x14ac:dyDescent="0.25">
      <c r="A190" t="s">
        <v>773</v>
      </c>
      <c r="B190" t="s">
        <v>774</v>
      </c>
      <c r="C190" s="1">
        <v>1203</v>
      </c>
      <c r="I190" s="1">
        <v>0</v>
      </c>
      <c r="K190" s="1">
        <v>435</v>
      </c>
      <c r="L190" s="1">
        <v>435</v>
      </c>
      <c r="M190" s="6">
        <f>(Table2[[#This Row],[Grand Total of Lead Service Lines Replaced]]/(Table2[[#This Row],[Total to be identified or replaced]]+Table2[[#This Row],[Grand Total of Lead Service Lines Replaced]]))</f>
        <v>0</v>
      </c>
      <c r="N190" s="1">
        <v>143</v>
      </c>
      <c r="O190" s="1">
        <v>578</v>
      </c>
      <c r="P190" t="s">
        <v>2778</v>
      </c>
      <c r="Q19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90" s="1" t="s">
        <v>2783</v>
      </c>
    </row>
    <row r="191" spans="1:18" x14ac:dyDescent="0.25">
      <c r="A191" t="s">
        <v>723</v>
      </c>
      <c r="B191" t="s">
        <v>724</v>
      </c>
      <c r="C191" s="1">
        <v>527</v>
      </c>
      <c r="I191" s="1">
        <v>0</v>
      </c>
      <c r="J191" s="1">
        <v>0</v>
      </c>
      <c r="K191" s="1">
        <v>0</v>
      </c>
      <c r="L191" s="1">
        <v>0</v>
      </c>
      <c r="M191" s="6" t="s">
        <v>2784</v>
      </c>
      <c r="N191" s="1">
        <v>259</v>
      </c>
      <c r="O191" s="1">
        <v>259</v>
      </c>
      <c r="P191" t="s">
        <v>2778</v>
      </c>
      <c r="Q19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91" s="1" t="s">
        <v>2779</v>
      </c>
    </row>
    <row r="192" spans="1:18" x14ac:dyDescent="0.25">
      <c r="A192" t="s">
        <v>727</v>
      </c>
      <c r="B192" t="s">
        <v>728</v>
      </c>
      <c r="C192" s="1">
        <v>2005</v>
      </c>
      <c r="I192" s="1">
        <v>0</v>
      </c>
      <c r="J192" s="1">
        <v>0</v>
      </c>
      <c r="K192" s="1">
        <v>0</v>
      </c>
      <c r="L192" s="1">
        <v>0</v>
      </c>
      <c r="M192" s="6" t="s">
        <v>2784</v>
      </c>
      <c r="N192" s="1">
        <v>1012</v>
      </c>
      <c r="O192" s="1">
        <v>1012</v>
      </c>
      <c r="P192" t="s">
        <v>2778</v>
      </c>
      <c r="Q19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92" s="1" t="s">
        <v>2779</v>
      </c>
    </row>
    <row r="193" spans="1:18" x14ac:dyDescent="0.25">
      <c r="A193" t="s">
        <v>731</v>
      </c>
      <c r="B193" t="s">
        <v>732</v>
      </c>
      <c r="C193" s="1">
        <v>777</v>
      </c>
      <c r="I193" s="1">
        <v>0</v>
      </c>
      <c r="J193" s="1">
        <v>0</v>
      </c>
      <c r="K193" s="1">
        <v>0</v>
      </c>
      <c r="L193" s="1">
        <v>0</v>
      </c>
      <c r="M193" s="6" t="s">
        <v>2784</v>
      </c>
      <c r="N193" s="1">
        <v>806</v>
      </c>
      <c r="O193" s="1">
        <v>806</v>
      </c>
      <c r="P193" t="s">
        <v>2778</v>
      </c>
      <c r="Q19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93" s="1" t="s">
        <v>2779</v>
      </c>
    </row>
    <row r="194" spans="1:18" x14ac:dyDescent="0.25">
      <c r="A194" t="s">
        <v>735</v>
      </c>
      <c r="B194" t="s">
        <v>736</v>
      </c>
      <c r="C194" s="1">
        <v>997</v>
      </c>
      <c r="D194" s="1">
        <v>1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6">
        <f>(Table2[[#This Row],[Grand Total of Lead Service Lines Replaced]]/(Table2[[#This Row],[Total to be identified or replaced]]+Table2[[#This Row],[Grand Total of Lead Service Lines Replaced]]))</f>
        <v>1</v>
      </c>
      <c r="N194" s="1">
        <v>482</v>
      </c>
      <c r="O194" s="1">
        <v>482</v>
      </c>
      <c r="P194" t="s">
        <v>2778</v>
      </c>
      <c r="Q194" t="s">
        <v>2785</v>
      </c>
      <c r="R194" s="7" t="s">
        <v>2786</v>
      </c>
    </row>
    <row r="195" spans="1:18" x14ac:dyDescent="0.25">
      <c r="A195" t="s">
        <v>1510</v>
      </c>
      <c r="B195" t="s">
        <v>1511</v>
      </c>
      <c r="C195" s="1">
        <v>270</v>
      </c>
      <c r="I195" s="1">
        <v>0</v>
      </c>
      <c r="J195" s="1">
        <v>0</v>
      </c>
      <c r="K195" s="1">
        <v>87</v>
      </c>
      <c r="L195" s="1">
        <v>87</v>
      </c>
      <c r="M195" s="6">
        <f>(Table2[[#This Row],[Grand Total of Lead Service Lines Replaced]]/(Table2[[#This Row],[Total to be identified or replaced]]+Table2[[#This Row],[Grand Total of Lead Service Lines Replaced]]))</f>
        <v>0</v>
      </c>
      <c r="N195" s="1">
        <v>26</v>
      </c>
      <c r="O195" s="1">
        <v>113</v>
      </c>
      <c r="P195" t="s">
        <v>2778</v>
      </c>
      <c r="Q19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95" s="1" t="s">
        <v>2783</v>
      </c>
    </row>
    <row r="196" spans="1:18" x14ac:dyDescent="0.25">
      <c r="A196" t="s">
        <v>743</v>
      </c>
      <c r="B196" t="s">
        <v>744</v>
      </c>
      <c r="C196" s="1">
        <v>1350</v>
      </c>
      <c r="I196" s="1">
        <v>0</v>
      </c>
      <c r="J196" s="1">
        <v>0</v>
      </c>
      <c r="K196" s="1">
        <v>0</v>
      </c>
      <c r="L196" s="1">
        <v>0</v>
      </c>
      <c r="M196" s="6" t="s">
        <v>2784</v>
      </c>
      <c r="N196" s="1">
        <v>830</v>
      </c>
      <c r="O196" s="1">
        <v>830</v>
      </c>
      <c r="P196" t="s">
        <v>2778</v>
      </c>
      <c r="Q19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96" s="1" t="s">
        <v>2779</v>
      </c>
    </row>
    <row r="197" spans="1:18" x14ac:dyDescent="0.25">
      <c r="A197" t="s">
        <v>741</v>
      </c>
      <c r="B197" t="s">
        <v>742</v>
      </c>
      <c r="C197" s="1">
        <v>1947</v>
      </c>
      <c r="I197" s="1">
        <v>0</v>
      </c>
      <c r="J197" s="1">
        <v>0</v>
      </c>
      <c r="K197" s="1">
        <v>474</v>
      </c>
      <c r="L197" s="1">
        <v>474</v>
      </c>
      <c r="M197" s="6">
        <f>(Table2[[#This Row],[Grand Total of Lead Service Lines Replaced]]/(Table2[[#This Row],[Total to be identified or replaced]]+Table2[[#This Row],[Grand Total of Lead Service Lines Replaced]]))</f>
        <v>0</v>
      </c>
      <c r="N197" s="1">
        <v>614</v>
      </c>
      <c r="O197" s="1">
        <v>1088</v>
      </c>
      <c r="P197" t="s">
        <v>2778</v>
      </c>
      <c r="Q19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97" s="1" t="s">
        <v>2783</v>
      </c>
    </row>
    <row r="198" spans="1:18" x14ac:dyDescent="0.25">
      <c r="A198" t="s">
        <v>1412</v>
      </c>
      <c r="B198" t="s">
        <v>1413</v>
      </c>
      <c r="C198" s="1">
        <v>1506</v>
      </c>
      <c r="I198" s="1">
        <v>0</v>
      </c>
      <c r="J198" s="1">
        <v>0</v>
      </c>
      <c r="K198" s="1">
        <v>98</v>
      </c>
      <c r="L198" s="1">
        <v>98</v>
      </c>
      <c r="M198" s="6">
        <f>(Table2[[#This Row],[Grand Total of Lead Service Lines Replaced]]/(Table2[[#This Row],[Total to be identified or replaced]]+Table2[[#This Row],[Grand Total of Lead Service Lines Replaced]]))</f>
        <v>0</v>
      </c>
      <c r="N198" s="1">
        <v>437</v>
      </c>
      <c r="O198" s="1">
        <v>535</v>
      </c>
      <c r="P198">
        <v>2023</v>
      </c>
      <c r="Q19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98" s="1" t="s">
        <v>2783</v>
      </c>
    </row>
    <row r="199" spans="1:18" x14ac:dyDescent="0.25">
      <c r="A199" t="s">
        <v>751</v>
      </c>
      <c r="B199" t="s">
        <v>752</v>
      </c>
      <c r="C199" s="1">
        <v>200</v>
      </c>
      <c r="I199" s="1">
        <v>0</v>
      </c>
      <c r="J199" s="1">
        <v>0</v>
      </c>
      <c r="K199" s="1">
        <v>0</v>
      </c>
      <c r="L199" s="1">
        <v>0</v>
      </c>
      <c r="M199" s="6" t="s">
        <v>2784</v>
      </c>
      <c r="N199" s="1">
        <v>76</v>
      </c>
      <c r="O199" s="1">
        <v>76</v>
      </c>
      <c r="P199" t="s">
        <v>2778</v>
      </c>
      <c r="Q1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99" s="1" t="s">
        <v>2779</v>
      </c>
    </row>
    <row r="200" spans="1:18" x14ac:dyDescent="0.25">
      <c r="A200" t="s">
        <v>755</v>
      </c>
      <c r="B200" t="s">
        <v>756</v>
      </c>
      <c r="C200" s="1">
        <v>124</v>
      </c>
      <c r="I200" s="1">
        <v>0</v>
      </c>
      <c r="J200" s="1">
        <v>0</v>
      </c>
      <c r="K200" s="1">
        <v>0</v>
      </c>
      <c r="L200" s="1">
        <v>0</v>
      </c>
      <c r="M200" s="6" t="s">
        <v>2784</v>
      </c>
      <c r="N200" s="1">
        <v>53</v>
      </c>
      <c r="O200" s="1">
        <v>53</v>
      </c>
      <c r="P200" t="s">
        <v>2778</v>
      </c>
      <c r="Q20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00" s="1" t="s">
        <v>2779</v>
      </c>
    </row>
    <row r="201" spans="1:18" x14ac:dyDescent="0.25">
      <c r="A201" t="s">
        <v>759</v>
      </c>
      <c r="B201" t="s">
        <v>760</v>
      </c>
      <c r="C201" s="1">
        <v>325</v>
      </c>
      <c r="I201" s="1">
        <v>0</v>
      </c>
      <c r="J201" s="1">
        <v>0</v>
      </c>
      <c r="K201" s="1">
        <v>0</v>
      </c>
      <c r="L201" s="1">
        <v>0</v>
      </c>
      <c r="M201" s="6" t="s">
        <v>2784</v>
      </c>
      <c r="N201" s="1">
        <v>112</v>
      </c>
      <c r="O201" s="1">
        <v>112</v>
      </c>
      <c r="P201" t="s">
        <v>2778</v>
      </c>
      <c r="Q20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01" s="1" t="s">
        <v>2779</v>
      </c>
    </row>
    <row r="202" spans="1:18" x14ac:dyDescent="0.25">
      <c r="A202" t="s">
        <v>1708</v>
      </c>
      <c r="B202" t="s">
        <v>1709</v>
      </c>
      <c r="C202" s="1">
        <v>100</v>
      </c>
      <c r="L202" s="1">
        <v>0</v>
      </c>
      <c r="M202" s="6" t="s">
        <v>2784</v>
      </c>
      <c r="N202" s="1">
        <v>10</v>
      </c>
      <c r="O202" s="1">
        <v>10</v>
      </c>
      <c r="P202">
        <v>2019</v>
      </c>
      <c r="Q20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02" s="1" t="s">
        <v>2779</v>
      </c>
    </row>
    <row r="203" spans="1:18" x14ac:dyDescent="0.25">
      <c r="A203" t="s">
        <v>767</v>
      </c>
      <c r="B203" t="s">
        <v>768</v>
      </c>
      <c r="C203" s="1">
        <v>3520</v>
      </c>
      <c r="I203" s="1">
        <v>0</v>
      </c>
      <c r="J203" s="1">
        <v>0</v>
      </c>
      <c r="K203" s="1">
        <v>0</v>
      </c>
      <c r="L203" s="1">
        <v>0</v>
      </c>
      <c r="M203" s="6" t="s">
        <v>2784</v>
      </c>
      <c r="N203" s="1">
        <v>915</v>
      </c>
      <c r="O203" s="1">
        <v>915</v>
      </c>
      <c r="P203" t="s">
        <v>2778</v>
      </c>
      <c r="Q20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03" s="1" t="s">
        <v>2779</v>
      </c>
    </row>
    <row r="204" spans="1:18" x14ac:dyDescent="0.25">
      <c r="A204" t="s">
        <v>771</v>
      </c>
      <c r="B204" t="s">
        <v>772</v>
      </c>
      <c r="C204" s="1">
        <v>1728</v>
      </c>
      <c r="I204" s="1">
        <v>0</v>
      </c>
      <c r="J204" s="1">
        <v>0</v>
      </c>
      <c r="K204" s="1">
        <v>0</v>
      </c>
      <c r="L204" s="1">
        <v>0</v>
      </c>
      <c r="M204" s="6" t="s">
        <v>2784</v>
      </c>
      <c r="N204" s="1">
        <v>693</v>
      </c>
      <c r="O204" s="1">
        <v>693</v>
      </c>
      <c r="P204" t="s">
        <v>2778</v>
      </c>
      <c r="Q20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04" s="1" t="s">
        <v>2779</v>
      </c>
    </row>
    <row r="205" spans="1:18" x14ac:dyDescent="0.25">
      <c r="A205" t="s">
        <v>775</v>
      </c>
      <c r="B205" t="s">
        <v>776</v>
      </c>
      <c r="C205" s="1">
        <v>480</v>
      </c>
      <c r="I205" s="1">
        <v>0</v>
      </c>
      <c r="J205" s="1">
        <v>0</v>
      </c>
      <c r="K205" s="1">
        <v>0</v>
      </c>
      <c r="L205" s="1">
        <v>0</v>
      </c>
      <c r="M205" s="6" t="s">
        <v>2784</v>
      </c>
      <c r="N205" s="1">
        <v>209</v>
      </c>
      <c r="O205" s="1">
        <v>209</v>
      </c>
      <c r="P205" t="s">
        <v>2778</v>
      </c>
      <c r="Q20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05" s="1" t="s">
        <v>2779</v>
      </c>
    </row>
    <row r="206" spans="1:18" x14ac:dyDescent="0.25">
      <c r="A206" t="s">
        <v>1670</v>
      </c>
      <c r="B206" t="s">
        <v>1671</v>
      </c>
      <c r="C206" s="1">
        <v>9390</v>
      </c>
      <c r="I206" s="1">
        <v>3</v>
      </c>
      <c r="J206" s="1">
        <v>0</v>
      </c>
      <c r="K206" s="1">
        <v>67</v>
      </c>
      <c r="L206" s="1">
        <v>70</v>
      </c>
      <c r="M206" s="6">
        <f>(Table2[[#This Row],[Grand Total of Lead Service Lines Replaced]]/(Table2[[#This Row],[Total to be identified or replaced]]+Table2[[#This Row],[Grand Total of Lead Service Lines Replaced]]))</f>
        <v>0</v>
      </c>
      <c r="N206" s="1">
        <v>4598</v>
      </c>
      <c r="O206" s="1">
        <v>4668</v>
      </c>
      <c r="P206" t="s">
        <v>2778</v>
      </c>
      <c r="Q20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06" s="1" t="s">
        <v>2783</v>
      </c>
    </row>
    <row r="207" spans="1:18" x14ac:dyDescent="0.25">
      <c r="A207" t="s">
        <v>1893</v>
      </c>
      <c r="B207" t="s">
        <v>1894</v>
      </c>
      <c r="C207" s="1">
        <v>583</v>
      </c>
      <c r="K207" s="1">
        <v>8</v>
      </c>
      <c r="L207" s="1">
        <v>8</v>
      </c>
      <c r="M207" s="6">
        <f>(Table2[[#This Row],[Grand Total of Lead Service Lines Replaced]]/(Table2[[#This Row],[Total to be identified or replaced]]+Table2[[#This Row],[Grand Total of Lead Service Lines Replaced]]))</f>
        <v>0</v>
      </c>
      <c r="N207" s="1">
        <v>106</v>
      </c>
      <c r="O207" s="1">
        <v>114</v>
      </c>
      <c r="P207" t="s">
        <v>2778</v>
      </c>
      <c r="Q20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07" s="1" t="s">
        <v>2783</v>
      </c>
    </row>
    <row r="208" spans="1:18" x14ac:dyDescent="0.25">
      <c r="A208" t="s">
        <v>783</v>
      </c>
      <c r="B208" t="s">
        <v>784</v>
      </c>
      <c r="C208" s="1">
        <v>1579</v>
      </c>
      <c r="I208" s="1">
        <v>0</v>
      </c>
      <c r="J208" s="1">
        <v>0</v>
      </c>
      <c r="K208" s="1">
        <v>0</v>
      </c>
      <c r="L208" s="1">
        <v>0</v>
      </c>
      <c r="M208" s="6" t="s">
        <v>2784</v>
      </c>
      <c r="N208" s="1">
        <v>499</v>
      </c>
      <c r="O208" s="1">
        <v>499</v>
      </c>
      <c r="P208" t="s">
        <v>2778</v>
      </c>
      <c r="Q20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08" s="1" t="s">
        <v>2779</v>
      </c>
    </row>
    <row r="209" spans="1:18" x14ac:dyDescent="0.25">
      <c r="A209" t="s">
        <v>787</v>
      </c>
      <c r="B209" t="s">
        <v>788</v>
      </c>
      <c r="C209" s="1">
        <v>95</v>
      </c>
      <c r="I209" s="1">
        <v>0</v>
      </c>
      <c r="J209" s="1">
        <v>0</v>
      </c>
      <c r="K209" s="1">
        <v>0</v>
      </c>
      <c r="L209" s="1">
        <v>0</v>
      </c>
      <c r="M209" s="6" t="s">
        <v>2784</v>
      </c>
      <c r="N209" s="1">
        <v>19</v>
      </c>
      <c r="O209" s="1">
        <v>19</v>
      </c>
      <c r="P209" t="s">
        <v>2778</v>
      </c>
      <c r="Q20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09" s="1" t="s">
        <v>2779</v>
      </c>
    </row>
    <row r="210" spans="1:18" x14ac:dyDescent="0.25">
      <c r="A210" t="s">
        <v>791</v>
      </c>
      <c r="B210" t="s">
        <v>792</v>
      </c>
      <c r="C210" s="1">
        <v>100</v>
      </c>
      <c r="I210" s="1">
        <v>0</v>
      </c>
      <c r="J210" s="1">
        <v>0</v>
      </c>
      <c r="K210" s="1">
        <v>0</v>
      </c>
      <c r="L210" s="1">
        <v>0</v>
      </c>
      <c r="M210" s="6" t="s">
        <v>2784</v>
      </c>
      <c r="N210" s="1">
        <v>40</v>
      </c>
      <c r="O210" s="1">
        <v>40</v>
      </c>
      <c r="P210" t="s">
        <v>2778</v>
      </c>
      <c r="Q21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10" s="1" t="s">
        <v>2779</v>
      </c>
    </row>
    <row r="211" spans="1:18" x14ac:dyDescent="0.25">
      <c r="A211" t="s">
        <v>795</v>
      </c>
      <c r="B211" t="s">
        <v>796</v>
      </c>
      <c r="C211" s="1">
        <v>30</v>
      </c>
      <c r="L211" s="1">
        <v>0</v>
      </c>
      <c r="M211" s="6" t="s">
        <v>2784</v>
      </c>
      <c r="N211" s="1">
        <v>2</v>
      </c>
      <c r="O211" s="1">
        <v>2</v>
      </c>
      <c r="P211" t="s">
        <v>2778</v>
      </c>
      <c r="Q21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11" s="1" t="s">
        <v>2779</v>
      </c>
    </row>
    <row r="212" spans="1:18" x14ac:dyDescent="0.25">
      <c r="A212" t="s">
        <v>1903</v>
      </c>
      <c r="B212" t="s">
        <v>1904</v>
      </c>
      <c r="C212" s="1">
        <v>193</v>
      </c>
      <c r="I212" s="1">
        <v>0</v>
      </c>
      <c r="J212" s="1">
        <v>1</v>
      </c>
      <c r="K212" s="1">
        <v>42</v>
      </c>
      <c r="L212" s="1">
        <v>43</v>
      </c>
      <c r="M212" s="6">
        <f>(Table2[[#This Row],[Grand Total of Lead Service Lines Replaced]]/(Table2[[#This Row],[Total to be identified or replaced]]+Table2[[#This Row],[Grand Total of Lead Service Lines Replaced]]))</f>
        <v>0</v>
      </c>
      <c r="N212" s="1">
        <v>11</v>
      </c>
      <c r="O212" s="1">
        <v>54</v>
      </c>
      <c r="P212" t="s">
        <v>2778</v>
      </c>
      <c r="Q21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12" s="1" t="s">
        <v>2783</v>
      </c>
    </row>
    <row r="213" spans="1:18" x14ac:dyDescent="0.25">
      <c r="A213" t="s">
        <v>971</v>
      </c>
      <c r="B213" t="s">
        <v>972</v>
      </c>
      <c r="C213" s="1">
        <v>643</v>
      </c>
      <c r="I213" s="1">
        <v>0</v>
      </c>
      <c r="J213" s="1">
        <v>247</v>
      </c>
      <c r="K213" s="1">
        <v>0</v>
      </c>
      <c r="L213" s="1">
        <v>247</v>
      </c>
      <c r="M213" s="6">
        <f>(Table2[[#This Row],[Grand Total of Lead Service Lines Replaced]]/(Table2[[#This Row],[Total to be identified or replaced]]+Table2[[#This Row],[Grand Total of Lead Service Lines Replaced]]))</f>
        <v>0</v>
      </c>
      <c r="N213" s="1">
        <v>66</v>
      </c>
      <c r="O213" s="1">
        <v>313</v>
      </c>
      <c r="P213" t="s">
        <v>2778</v>
      </c>
      <c r="Q21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13" s="1" t="s">
        <v>2783</v>
      </c>
    </row>
    <row r="214" spans="1:18" x14ac:dyDescent="0.25">
      <c r="A214" t="s">
        <v>1967</v>
      </c>
      <c r="B214" t="s">
        <v>1968</v>
      </c>
      <c r="C214" s="1">
        <v>391</v>
      </c>
      <c r="I214" s="1">
        <v>0</v>
      </c>
      <c r="J214" s="1">
        <v>0</v>
      </c>
      <c r="K214" s="1">
        <v>28</v>
      </c>
      <c r="L214" s="1">
        <v>28</v>
      </c>
      <c r="M214" s="6">
        <f>(Table2[[#This Row],[Grand Total of Lead Service Lines Replaced]]/(Table2[[#This Row],[Total to be identified or replaced]]+Table2[[#This Row],[Grand Total of Lead Service Lines Replaced]]))</f>
        <v>0</v>
      </c>
      <c r="N214" s="1">
        <v>129</v>
      </c>
      <c r="O214" s="1">
        <v>157</v>
      </c>
      <c r="P214" t="s">
        <v>2778</v>
      </c>
      <c r="Q21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14" s="1" t="s">
        <v>2783</v>
      </c>
    </row>
    <row r="215" spans="1:18" x14ac:dyDescent="0.25">
      <c r="A215" t="s">
        <v>809</v>
      </c>
      <c r="B215" t="s">
        <v>810</v>
      </c>
      <c r="C215" s="1">
        <v>5839</v>
      </c>
      <c r="I215" s="1">
        <v>0</v>
      </c>
      <c r="J215" s="1">
        <v>0</v>
      </c>
      <c r="K215" s="1">
        <v>0</v>
      </c>
      <c r="L215" s="1">
        <v>0</v>
      </c>
      <c r="M215" s="6" t="s">
        <v>2784</v>
      </c>
      <c r="N215" s="1">
        <v>2452</v>
      </c>
      <c r="O215" s="1">
        <v>2452</v>
      </c>
      <c r="P215" t="s">
        <v>2778</v>
      </c>
      <c r="Q2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15" s="1" t="s">
        <v>2779</v>
      </c>
    </row>
    <row r="216" spans="1:18" x14ac:dyDescent="0.25">
      <c r="A216" t="s">
        <v>813</v>
      </c>
      <c r="B216" t="s">
        <v>814</v>
      </c>
      <c r="C216" s="1">
        <v>21856</v>
      </c>
      <c r="I216" s="1">
        <v>0</v>
      </c>
      <c r="J216" s="1">
        <v>0</v>
      </c>
      <c r="K216" s="1">
        <v>0</v>
      </c>
      <c r="L216" s="1">
        <v>0</v>
      </c>
      <c r="M216" s="6" t="s">
        <v>2784</v>
      </c>
      <c r="N216" s="1">
        <v>9471</v>
      </c>
      <c r="O216" s="1">
        <v>9471</v>
      </c>
      <c r="P216" t="s">
        <v>2778</v>
      </c>
      <c r="Q21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16" s="1" t="s">
        <v>2779</v>
      </c>
    </row>
    <row r="217" spans="1:18" x14ac:dyDescent="0.25">
      <c r="A217" t="s">
        <v>1514</v>
      </c>
      <c r="B217" t="s">
        <v>1515</v>
      </c>
      <c r="C217" s="1">
        <v>327</v>
      </c>
      <c r="I217" s="1">
        <v>0</v>
      </c>
      <c r="J217" s="1">
        <v>0</v>
      </c>
      <c r="K217" s="1">
        <v>86</v>
      </c>
      <c r="L217" s="1">
        <v>86</v>
      </c>
      <c r="M217" s="6">
        <f>(Table2[[#This Row],[Grand Total of Lead Service Lines Replaced]]/(Table2[[#This Row],[Total to be identified or replaced]]+Table2[[#This Row],[Grand Total of Lead Service Lines Replaced]]))</f>
        <v>0</v>
      </c>
      <c r="N217" s="1">
        <v>32</v>
      </c>
      <c r="O217" s="1">
        <v>118</v>
      </c>
      <c r="P217">
        <v>2024</v>
      </c>
      <c r="Q21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17" s="1" t="s">
        <v>2783</v>
      </c>
    </row>
    <row r="218" spans="1:18" x14ac:dyDescent="0.25">
      <c r="A218" t="s">
        <v>819</v>
      </c>
      <c r="B218" t="s">
        <v>820</v>
      </c>
      <c r="C218" s="1">
        <v>800</v>
      </c>
      <c r="L218" s="1">
        <v>0</v>
      </c>
      <c r="M218" s="6" t="s">
        <v>2784</v>
      </c>
      <c r="N218" s="1">
        <v>355</v>
      </c>
      <c r="O218" s="1">
        <v>355</v>
      </c>
      <c r="P218" t="s">
        <v>2778</v>
      </c>
      <c r="Q21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18" s="1" t="s">
        <v>2779</v>
      </c>
    </row>
    <row r="219" spans="1:18" x14ac:dyDescent="0.25">
      <c r="A219" t="s">
        <v>475</v>
      </c>
      <c r="B219" t="s">
        <v>476</v>
      </c>
      <c r="C219" s="1">
        <v>25</v>
      </c>
      <c r="I219" s="1">
        <v>0</v>
      </c>
      <c r="J219" s="1">
        <v>0</v>
      </c>
      <c r="K219" s="1">
        <v>0</v>
      </c>
      <c r="L219" s="1">
        <v>0</v>
      </c>
      <c r="M219" s="6" t="s">
        <v>2784</v>
      </c>
      <c r="N219" s="1">
        <v>56</v>
      </c>
      <c r="P219" t="s">
        <v>2778</v>
      </c>
      <c r="Q219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219" s="1" t="s">
        <v>2782</v>
      </c>
    </row>
    <row r="220" spans="1:18" x14ac:dyDescent="0.25">
      <c r="A220" t="s">
        <v>825</v>
      </c>
      <c r="B220" t="s">
        <v>826</v>
      </c>
      <c r="C220" s="1">
        <v>300</v>
      </c>
      <c r="K220" s="1">
        <v>0</v>
      </c>
      <c r="L220" s="1">
        <v>0</v>
      </c>
      <c r="M220" s="6" t="s">
        <v>2784</v>
      </c>
      <c r="N220" s="1">
        <v>139</v>
      </c>
      <c r="O220" s="1">
        <v>139</v>
      </c>
      <c r="P220" t="s">
        <v>2778</v>
      </c>
      <c r="Q22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20" s="1" t="s">
        <v>2779</v>
      </c>
    </row>
    <row r="221" spans="1:18" x14ac:dyDescent="0.25">
      <c r="A221" t="s">
        <v>1901</v>
      </c>
      <c r="B221" t="s">
        <v>1902</v>
      </c>
      <c r="C221" s="1">
        <v>397</v>
      </c>
      <c r="I221" s="1">
        <v>0</v>
      </c>
      <c r="J221" s="1">
        <v>47</v>
      </c>
      <c r="K221" s="1">
        <v>0</v>
      </c>
      <c r="L221" s="1">
        <v>47</v>
      </c>
      <c r="M221" s="6">
        <f>(Table2[[#This Row],[Grand Total of Lead Service Lines Replaced]]/(Table2[[#This Row],[Total to be identified or replaced]]+Table2[[#This Row],[Grand Total of Lead Service Lines Replaced]]))</f>
        <v>0</v>
      </c>
      <c r="N221" s="1">
        <v>136</v>
      </c>
      <c r="O221" s="1">
        <v>183</v>
      </c>
      <c r="P221" t="s">
        <v>2778</v>
      </c>
      <c r="Q22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21" s="1" t="s">
        <v>2783</v>
      </c>
    </row>
    <row r="222" spans="1:18" x14ac:dyDescent="0.25">
      <c r="A222" t="s">
        <v>959</v>
      </c>
      <c r="B222" t="s">
        <v>960</v>
      </c>
      <c r="C222" s="1">
        <v>1072</v>
      </c>
      <c r="I222" s="1">
        <v>0</v>
      </c>
      <c r="J222" s="1">
        <v>0</v>
      </c>
      <c r="K222" s="1">
        <v>250</v>
      </c>
      <c r="L222" s="1">
        <v>250</v>
      </c>
      <c r="M222" s="6">
        <f>(Table2[[#This Row],[Grand Total of Lead Service Lines Replaced]]/(Table2[[#This Row],[Total to be identified or replaced]]+Table2[[#This Row],[Grand Total of Lead Service Lines Replaced]]))</f>
        <v>0</v>
      </c>
      <c r="N222" s="1">
        <v>228</v>
      </c>
      <c r="O222" s="1">
        <v>478</v>
      </c>
      <c r="P222" t="s">
        <v>2778</v>
      </c>
      <c r="Q22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22" s="1" t="s">
        <v>2783</v>
      </c>
    </row>
    <row r="223" spans="1:18" x14ac:dyDescent="0.25">
      <c r="A223" t="s">
        <v>831</v>
      </c>
      <c r="B223" t="s">
        <v>832</v>
      </c>
      <c r="C223" s="1">
        <v>50</v>
      </c>
      <c r="I223" s="1">
        <v>0</v>
      </c>
      <c r="J223" s="1">
        <v>0</v>
      </c>
      <c r="K223" s="1">
        <v>0</v>
      </c>
      <c r="L223" s="1">
        <v>0</v>
      </c>
      <c r="M223" s="6" t="s">
        <v>2784</v>
      </c>
      <c r="N223" s="1">
        <v>2</v>
      </c>
      <c r="O223" s="1">
        <v>2</v>
      </c>
      <c r="P223" t="s">
        <v>2778</v>
      </c>
      <c r="Q2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23" s="1" t="s">
        <v>2779</v>
      </c>
    </row>
    <row r="224" spans="1:18" x14ac:dyDescent="0.25">
      <c r="A224" t="s">
        <v>2055</v>
      </c>
      <c r="B224" t="s">
        <v>2056</v>
      </c>
      <c r="C224" s="1">
        <v>7135</v>
      </c>
      <c r="I224" s="1">
        <v>22</v>
      </c>
      <c r="J224" s="1">
        <v>1</v>
      </c>
      <c r="K224" s="1">
        <v>0</v>
      </c>
      <c r="L224" s="1">
        <v>23</v>
      </c>
      <c r="M224" s="6">
        <f>(Table2[[#This Row],[Grand Total of Lead Service Lines Replaced]]/(Table2[[#This Row],[Total to be identified or replaced]]+Table2[[#This Row],[Grand Total of Lead Service Lines Replaced]]))</f>
        <v>0</v>
      </c>
      <c r="N224" s="1">
        <v>3060</v>
      </c>
      <c r="O224" s="1">
        <v>3083</v>
      </c>
      <c r="P224" t="s">
        <v>2778</v>
      </c>
      <c r="Q22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24" s="1" t="s">
        <v>2783</v>
      </c>
    </row>
    <row r="225" spans="1:18" x14ac:dyDescent="0.25">
      <c r="A225" t="s">
        <v>837</v>
      </c>
      <c r="B225" t="s">
        <v>838</v>
      </c>
      <c r="C225" s="1">
        <v>41650</v>
      </c>
      <c r="I225" s="1">
        <v>0</v>
      </c>
      <c r="J225" s="1">
        <v>0</v>
      </c>
      <c r="K225" s="1">
        <v>0</v>
      </c>
      <c r="L225" s="1">
        <v>0</v>
      </c>
      <c r="M225" s="6" t="s">
        <v>2784</v>
      </c>
      <c r="N225" s="1">
        <v>16461</v>
      </c>
      <c r="O225" s="1">
        <v>16461</v>
      </c>
      <c r="P225" t="s">
        <v>2778</v>
      </c>
      <c r="Q22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25" s="1" t="s">
        <v>2779</v>
      </c>
    </row>
    <row r="226" spans="1:18" x14ac:dyDescent="0.25">
      <c r="A226" t="s">
        <v>841</v>
      </c>
      <c r="B226" t="s">
        <v>842</v>
      </c>
      <c r="C226" s="1">
        <v>813</v>
      </c>
      <c r="I226" s="1">
        <v>0</v>
      </c>
      <c r="J226" s="1">
        <v>0</v>
      </c>
      <c r="L226" s="1">
        <v>0</v>
      </c>
      <c r="M226" s="6" t="s">
        <v>2784</v>
      </c>
      <c r="N226" s="1">
        <v>47</v>
      </c>
      <c r="O226" s="1">
        <v>47</v>
      </c>
      <c r="P226" t="s">
        <v>2778</v>
      </c>
      <c r="Q22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26" s="1" t="s">
        <v>2779</v>
      </c>
    </row>
    <row r="227" spans="1:18" x14ac:dyDescent="0.25">
      <c r="A227" t="s">
        <v>845</v>
      </c>
      <c r="B227" t="s">
        <v>846</v>
      </c>
      <c r="C227" s="1">
        <v>2825</v>
      </c>
      <c r="I227" s="1">
        <v>0</v>
      </c>
      <c r="J227" s="1">
        <v>0</v>
      </c>
      <c r="K227" s="1">
        <v>0</v>
      </c>
      <c r="L227" s="1">
        <v>0</v>
      </c>
      <c r="M227" s="6" t="s">
        <v>2784</v>
      </c>
      <c r="N227" s="1">
        <v>3030</v>
      </c>
      <c r="O227" s="1">
        <v>3030</v>
      </c>
      <c r="P227" t="s">
        <v>2778</v>
      </c>
      <c r="Q22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27" s="1" t="s">
        <v>2779</v>
      </c>
    </row>
    <row r="228" spans="1:18" x14ac:dyDescent="0.25">
      <c r="A228" t="s">
        <v>849</v>
      </c>
      <c r="B228" t="s">
        <v>850</v>
      </c>
      <c r="C228" s="1">
        <v>1548</v>
      </c>
      <c r="I228" s="1">
        <v>0</v>
      </c>
      <c r="J228" s="1">
        <v>0</v>
      </c>
      <c r="K228" s="1">
        <v>0</v>
      </c>
      <c r="L228" s="1">
        <v>0</v>
      </c>
      <c r="M228" s="6" t="s">
        <v>2784</v>
      </c>
      <c r="N228" s="1">
        <v>619</v>
      </c>
      <c r="O228" s="1">
        <v>619</v>
      </c>
      <c r="P228" t="s">
        <v>2778</v>
      </c>
      <c r="Q22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28" s="1" t="s">
        <v>2779</v>
      </c>
    </row>
    <row r="229" spans="1:18" x14ac:dyDescent="0.25">
      <c r="A229" t="s">
        <v>853</v>
      </c>
      <c r="B229" t="s">
        <v>854</v>
      </c>
      <c r="C229" s="1">
        <v>50</v>
      </c>
      <c r="I229" s="1">
        <v>0</v>
      </c>
      <c r="J229" s="1">
        <v>0</v>
      </c>
      <c r="K229" s="1">
        <v>0</v>
      </c>
      <c r="L229" s="1">
        <v>0</v>
      </c>
      <c r="M229" s="6" t="s">
        <v>2784</v>
      </c>
      <c r="N229" s="1">
        <v>18</v>
      </c>
      <c r="P229" t="s">
        <v>2778</v>
      </c>
      <c r="Q229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229" s="1" t="s">
        <v>2782</v>
      </c>
    </row>
    <row r="230" spans="1:18" x14ac:dyDescent="0.25">
      <c r="A230" t="s">
        <v>857</v>
      </c>
      <c r="B230" t="s">
        <v>858</v>
      </c>
      <c r="C230" s="1">
        <v>1863</v>
      </c>
      <c r="I230" s="1">
        <v>0</v>
      </c>
      <c r="J230" s="1">
        <v>0</v>
      </c>
      <c r="K230" s="1">
        <v>0</v>
      </c>
      <c r="L230" s="1">
        <v>0</v>
      </c>
      <c r="M230" s="6" t="s">
        <v>2784</v>
      </c>
      <c r="N230" s="1">
        <v>621</v>
      </c>
      <c r="O230" s="1">
        <v>621</v>
      </c>
      <c r="P230" t="s">
        <v>2778</v>
      </c>
      <c r="Q2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30" s="1" t="s">
        <v>2779</v>
      </c>
    </row>
    <row r="231" spans="1:18" x14ac:dyDescent="0.25">
      <c r="A231" t="s">
        <v>2081</v>
      </c>
      <c r="B231" t="s">
        <v>2082</v>
      </c>
      <c r="C231" s="1">
        <v>2845</v>
      </c>
      <c r="I231" s="1">
        <v>0</v>
      </c>
      <c r="J231" s="1">
        <v>4</v>
      </c>
      <c r="K231" s="1">
        <v>0</v>
      </c>
      <c r="L231" s="1">
        <v>4</v>
      </c>
      <c r="M231" s="6">
        <f>(Table2[[#This Row],[Grand Total of Lead Service Lines Replaced]]/(Table2[[#This Row],[Total to be identified or replaced]]+Table2[[#This Row],[Grand Total of Lead Service Lines Replaced]]))</f>
        <v>0</v>
      </c>
      <c r="N231" s="1">
        <v>1383</v>
      </c>
      <c r="O231" s="1">
        <v>1387</v>
      </c>
      <c r="P231" t="s">
        <v>2778</v>
      </c>
      <c r="Q23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31" s="1" t="s">
        <v>2783</v>
      </c>
    </row>
    <row r="232" spans="1:18" x14ac:dyDescent="0.25">
      <c r="A232" t="s">
        <v>1877</v>
      </c>
      <c r="B232" t="s">
        <v>1878</v>
      </c>
      <c r="C232" s="1">
        <v>1021</v>
      </c>
      <c r="I232" s="1">
        <v>0</v>
      </c>
      <c r="J232" s="1">
        <v>0</v>
      </c>
      <c r="K232" s="1">
        <v>51</v>
      </c>
      <c r="L232" s="1">
        <v>51</v>
      </c>
      <c r="M232" s="6">
        <f>(Table2[[#This Row],[Grand Total of Lead Service Lines Replaced]]/(Table2[[#This Row],[Total to be identified or replaced]]+Table2[[#This Row],[Grand Total of Lead Service Lines Replaced]]))</f>
        <v>0</v>
      </c>
      <c r="N232" s="1">
        <v>351</v>
      </c>
      <c r="O232" s="1">
        <v>402</v>
      </c>
      <c r="P232" t="s">
        <v>2778</v>
      </c>
      <c r="Q23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32" s="1" t="s">
        <v>2783</v>
      </c>
    </row>
    <row r="233" spans="1:18" x14ac:dyDescent="0.25">
      <c r="A233" t="s">
        <v>869</v>
      </c>
      <c r="B233" t="s">
        <v>870</v>
      </c>
      <c r="C233" s="1">
        <v>1245</v>
      </c>
      <c r="I233" s="1">
        <v>0</v>
      </c>
      <c r="J233" s="1">
        <v>0</v>
      </c>
      <c r="K233" s="1">
        <v>0</v>
      </c>
      <c r="L233" s="1">
        <v>0</v>
      </c>
      <c r="M233" s="6" t="s">
        <v>2784</v>
      </c>
      <c r="N233" s="1">
        <v>498</v>
      </c>
      <c r="O233" s="1">
        <v>498</v>
      </c>
      <c r="P233" t="s">
        <v>2778</v>
      </c>
      <c r="Q23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33" s="1" t="s">
        <v>2779</v>
      </c>
    </row>
    <row r="234" spans="1:18" x14ac:dyDescent="0.25">
      <c r="A234" t="s">
        <v>683</v>
      </c>
      <c r="B234" t="s">
        <v>684</v>
      </c>
      <c r="C234" s="1">
        <v>313</v>
      </c>
      <c r="K234" s="1">
        <v>596</v>
      </c>
      <c r="L234" s="1">
        <v>596</v>
      </c>
      <c r="M234" s="6">
        <f>(Table2[[#This Row],[Grand Total of Lead Service Lines Replaced]]/(Table2[[#This Row],[Total to be identified or replaced]]+Table2[[#This Row],[Grand Total of Lead Service Lines Replaced]]))</f>
        <v>0</v>
      </c>
      <c r="O234" s="1">
        <v>596</v>
      </c>
      <c r="P234" t="s">
        <v>2778</v>
      </c>
      <c r="Q23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34" s="1" t="s">
        <v>2783</v>
      </c>
    </row>
    <row r="235" spans="1:18" x14ac:dyDescent="0.25">
      <c r="A235" t="s">
        <v>875</v>
      </c>
      <c r="B235" t="s">
        <v>876</v>
      </c>
      <c r="C235" s="1">
        <v>9866</v>
      </c>
      <c r="I235" s="1">
        <v>0</v>
      </c>
      <c r="J235" s="1">
        <v>0</v>
      </c>
      <c r="K235" s="1">
        <v>0</v>
      </c>
      <c r="L235" s="1">
        <v>0</v>
      </c>
      <c r="M235" s="6" t="s">
        <v>2784</v>
      </c>
      <c r="N235" s="1">
        <v>4917</v>
      </c>
      <c r="O235" s="1">
        <v>4917</v>
      </c>
      <c r="P235" t="s">
        <v>2778</v>
      </c>
      <c r="Q23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35" s="1" t="s">
        <v>2779</v>
      </c>
    </row>
    <row r="236" spans="1:18" x14ac:dyDescent="0.25">
      <c r="A236" t="s">
        <v>879</v>
      </c>
      <c r="B236" t="s">
        <v>880</v>
      </c>
      <c r="C236" s="1">
        <v>22</v>
      </c>
      <c r="I236" s="1">
        <v>0</v>
      </c>
      <c r="J236" s="1">
        <v>0</v>
      </c>
      <c r="K236" s="1">
        <v>0</v>
      </c>
      <c r="L236" s="1">
        <v>0</v>
      </c>
      <c r="M236" s="6" t="s">
        <v>2784</v>
      </c>
      <c r="N236" s="1">
        <v>15</v>
      </c>
      <c r="O236" s="1">
        <v>15</v>
      </c>
      <c r="P236" t="s">
        <v>2778</v>
      </c>
      <c r="Q23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36" s="1" t="s">
        <v>2779</v>
      </c>
    </row>
    <row r="237" spans="1:18" x14ac:dyDescent="0.25">
      <c r="A237" t="s">
        <v>881</v>
      </c>
      <c r="B237" t="s">
        <v>882</v>
      </c>
      <c r="C237" s="1">
        <v>324</v>
      </c>
      <c r="I237" s="1">
        <v>0</v>
      </c>
      <c r="J237" s="1">
        <v>0</v>
      </c>
      <c r="K237" s="1">
        <v>0</v>
      </c>
      <c r="L237" s="1">
        <v>0</v>
      </c>
      <c r="M237" s="6" t="s">
        <v>2784</v>
      </c>
      <c r="N237" s="1">
        <v>125</v>
      </c>
      <c r="O237" s="1">
        <v>125</v>
      </c>
      <c r="P237" t="s">
        <v>2778</v>
      </c>
      <c r="Q23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37" s="1" t="s">
        <v>2779</v>
      </c>
    </row>
    <row r="238" spans="1:18" x14ac:dyDescent="0.25">
      <c r="A238" t="s">
        <v>885</v>
      </c>
      <c r="B238" t="s">
        <v>886</v>
      </c>
      <c r="C238" s="1">
        <v>767</v>
      </c>
      <c r="I238" s="1">
        <v>0</v>
      </c>
      <c r="J238" s="1">
        <v>0</v>
      </c>
      <c r="K238" s="1">
        <v>0</v>
      </c>
      <c r="L238" s="1">
        <v>0</v>
      </c>
      <c r="M238" s="6" t="s">
        <v>2784</v>
      </c>
      <c r="N238" s="1">
        <v>284</v>
      </c>
      <c r="O238" s="1">
        <v>284</v>
      </c>
      <c r="P238" t="s">
        <v>2778</v>
      </c>
      <c r="Q23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38" s="1" t="s">
        <v>2779</v>
      </c>
    </row>
    <row r="239" spans="1:18" x14ac:dyDescent="0.25">
      <c r="A239" t="s">
        <v>889</v>
      </c>
      <c r="B239" t="s">
        <v>890</v>
      </c>
      <c r="C239" s="1">
        <v>198</v>
      </c>
      <c r="I239" s="1">
        <v>0</v>
      </c>
      <c r="J239" s="1">
        <v>0</v>
      </c>
      <c r="K239" s="1">
        <v>0</v>
      </c>
      <c r="L239" s="1">
        <v>0</v>
      </c>
      <c r="M239" s="6" t="s">
        <v>2784</v>
      </c>
      <c r="N239" s="1">
        <v>75</v>
      </c>
      <c r="O239" s="1">
        <v>75</v>
      </c>
      <c r="P239" t="s">
        <v>2778</v>
      </c>
      <c r="Q2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39" s="1" t="s">
        <v>2779</v>
      </c>
    </row>
    <row r="240" spans="1:18" x14ac:dyDescent="0.25">
      <c r="A240" t="s">
        <v>1935</v>
      </c>
      <c r="B240" t="s">
        <v>1936</v>
      </c>
      <c r="C240" s="1">
        <v>526</v>
      </c>
      <c r="I240" s="1">
        <v>0</v>
      </c>
      <c r="J240" s="1">
        <v>2</v>
      </c>
      <c r="K240" s="1">
        <v>38</v>
      </c>
      <c r="L240" s="1">
        <v>40</v>
      </c>
      <c r="M240" s="6">
        <f>(Table2[[#This Row],[Grand Total of Lead Service Lines Replaced]]/(Table2[[#This Row],[Total to be identified or replaced]]+Table2[[#This Row],[Grand Total of Lead Service Lines Replaced]]))</f>
        <v>0</v>
      </c>
      <c r="N240" s="1">
        <v>325</v>
      </c>
      <c r="O240" s="1">
        <v>365</v>
      </c>
      <c r="P240" t="s">
        <v>2778</v>
      </c>
      <c r="Q24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40" s="1" t="s">
        <v>2783</v>
      </c>
    </row>
    <row r="241" spans="1:18" x14ac:dyDescent="0.25">
      <c r="A241" t="s">
        <v>897</v>
      </c>
      <c r="B241" t="s">
        <v>898</v>
      </c>
      <c r="C241" s="1">
        <v>68</v>
      </c>
      <c r="I241" s="1">
        <v>0</v>
      </c>
      <c r="J241" s="1">
        <v>0</v>
      </c>
      <c r="K241" s="1">
        <v>0</v>
      </c>
      <c r="L241" s="1">
        <v>0</v>
      </c>
      <c r="M241" s="6" t="s">
        <v>2784</v>
      </c>
      <c r="N241" s="1">
        <v>29</v>
      </c>
      <c r="O241" s="1">
        <v>29</v>
      </c>
      <c r="P241" t="s">
        <v>2778</v>
      </c>
      <c r="Q2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41" s="1" t="s">
        <v>2779</v>
      </c>
    </row>
    <row r="242" spans="1:18" x14ac:dyDescent="0.25">
      <c r="A242" t="s">
        <v>273</v>
      </c>
      <c r="B242" t="s">
        <v>274</v>
      </c>
      <c r="C242" s="1">
        <v>48000</v>
      </c>
      <c r="I242" s="1">
        <v>0</v>
      </c>
      <c r="J242" s="1">
        <v>0</v>
      </c>
      <c r="K242" s="1">
        <v>4742</v>
      </c>
      <c r="L242" s="1">
        <v>4742</v>
      </c>
      <c r="M242" s="6">
        <f>(Table2[[#This Row],[Grand Total of Lead Service Lines Replaced]]/(Table2[[#This Row],[Total to be identified or replaced]]+Table2[[#This Row],[Grand Total of Lead Service Lines Replaced]]))</f>
        <v>0</v>
      </c>
      <c r="N242" s="1">
        <v>10334</v>
      </c>
      <c r="O242" s="1">
        <v>15076</v>
      </c>
      <c r="P242" t="s">
        <v>2778</v>
      </c>
      <c r="Q24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42" s="1" t="s">
        <v>2783</v>
      </c>
    </row>
    <row r="243" spans="1:18" x14ac:dyDescent="0.25">
      <c r="A243" t="s">
        <v>2147</v>
      </c>
      <c r="B243" t="s">
        <v>2148</v>
      </c>
      <c r="C243" s="1">
        <v>246</v>
      </c>
      <c r="I243" s="1">
        <v>0</v>
      </c>
      <c r="K243" s="1">
        <v>14</v>
      </c>
      <c r="L243" s="1">
        <v>14</v>
      </c>
      <c r="M243" s="6">
        <f>(Table2[[#This Row],[Grand Total of Lead Service Lines Replaced]]/(Table2[[#This Row],[Total to be identified or replaced]]+Table2[[#This Row],[Grand Total of Lead Service Lines Replaced]]))</f>
        <v>0</v>
      </c>
      <c r="N243" s="1">
        <v>68</v>
      </c>
      <c r="O243" s="1">
        <v>82</v>
      </c>
      <c r="P243" t="s">
        <v>2778</v>
      </c>
      <c r="Q24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43" s="1" t="s">
        <v>2783</v>
      </c>
    </row>
    <row r="244" spans="1:18" x14ac:dyDescent="0.25">
      <c r="A244" t="s">
        <v>903</v>
      </c>
      <c r="B244" t="s">
        <v>904</v>
      </c>
      <c r="C244" s="1">
        <v>2400</v>
      </c>
      <c r="I244" s="1">
        <v>0</v>
      </c>
      <c r="J244" s="1">
        <v>0</v>
      </c>
      <c r="K244" s="1">
        <v>0</v>
      </c>
      <c r="L244" s="1">
        <v>0</v>
      </c>
      <c r="M244" s="6" t="s">
        <v>2784</v>
      </c>
      <c r="N244" s="1">
        <v>794</v>
      </c>
      <c r="O244" s="1">
        <v>794</v>
      </c>
      <c r="P244" t="s">
        <v>2778</v>
      </c>
      <c r="Q24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44" s="1" t="s">
        <v>2779</v>
      </c>
    </row>
    <row r="245" spans="1:18" x14ac:dyDescent="0.25">
      <c r="A245" t="s">
        <v>907</v>
      </c>
      <c r="B245" t="s">
        <v>908</v>
      </c>
      <c r="C245" s="1">
        <v>388</v>
      </c>
      <c r="I245" s="1">
        <v>0</v>
      </c>
      <c r="J245" s="1">
        <v>0</v>
      </c>
      <c r="K245" s="1">
        <v>0</v>
      </c>
      <c r="L245" s="1">
        <v>0</v>
      </c>
      <c r="M245" s="6" t="s">
        <v>2784</v>
      </c>
      <c r="N245" s="1">
        <v>250</v>
      </c>
      <c r="O245" s="1">
        <v>250</v>
      </c>
      <c r="P245" t="s">
        <v>2778</v>
      </c>
      <c r="Q2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45" s="1" t="s">
        <v>2779</v>
      </c>
    </row>
    <row r="246" spans="1:18" x14ac:dyDescent="0.25">
      <c r="A246" t="s">
        <v>1550</v>
      </c>
      <c r="B246" t="s">
        <v>1551</v>
      </c>
      <c r="C246" s="1">
        <v>544</v>
      </c>
      <c r="I246" s="1">
        <v>0</v>
      </c>
      <c r="J246" s="1">
        <v>0</v>
      </c>
      <c r="K246" s="1">
        <v>86</v>
      </c>
      <c r="L246" s="1">
        <v>86</v>
      </c>
      <c r="M246" s="6">
        <f>(Table2[[#This Row],[Grand Total of Lead Service Lines Replaced]]/(Table2[[#This Row],[Total to be identified or replaced]]+Table2[[#This Row],[Grand Total of Lead Service Lines Replaced]]))</f>
        <v>0</v>
      </c>
      <c r="N246" s="1">
        <v>95</v>
      </c>
      <c r="O246" s="1">
        <v>181</v>
      </c>
      <c r="P246" t="s">
        <v>2778</v>
      </c>
      <c r="Q24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46" s="1" t="s">
        <v>2783</v>
      </c>
    </row>
    <row r="247" spans="1:18" x14ac:dyDescent="0.25">
      <c r="A247" t="s">
        <v>341</v>
      </c>
      <c r="B247" t="s">
        <v>342</v>
      </c>
      <c r="C247" s="1">
        <v>33000</v>
      </c>
      <c r="I247" s="1">
        <v>0</v>
      </c>
      <c r="J247" s="1">
        <v>0</v>
      </c>
      <c r="K247" s="1">
        <v>2474</v>
      </c>
      <c r="L247" s="1">
        <v>2474</v>
      </c>
      <c r="M247" s="6">
        <f>(Table2[[#This Row],[Grand Total of Lead Service Lines Replaced]]/(Table2[[#This Row],[Total to be identified or replaced]]+Table2[[#This Row],[Grand Total of Lead Service Lines Replaced]]))</f>
        <v>0</v>
      </c>
      <c r="N247" s="1">
        <v>5148</v>
      </c>
      <c r="O247" s="1">
        <v>7622</v>
      </c>
      <c r="P247" t="s">
        <v>2778</v>
      </c>
      <c r="Q24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47" s="1" t="s">
        <v>2783</v>
      </c>
    </row>
    <row r="248" spans="1:18" x14ac:dyDescent="0.25">
      <c r="A248" t="s">
        <v>913</v>
      </c>
      <c r="B248" t="s">
        <v>914</v>
      </c>
      <c r="C248" s="1">
        <v>405</v>
      </c>
      <c r="I248" s="1">
        <v>0</v>
      </c>
      <c r="J248" s="1">
        <v>0</v>
      </c>
      <c r="K248" s="1">
        <v>0</v>
      </c>
      <c r="L248" s="1">
        <v>0</v>
      </c>
      <c r="M248" s="6" t="s">
        <v>2784</v>
      </c>
      <c r="N248" s="1">
        <v>343</v>
      </c>
      <c r="O248" s="1">
        <v>343</v>
      </c>
      <c r="P248" t="s">
        <v>2778</v>
      </c>
      <c r="Q24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48" s="1" t="s">
        <v>2779</v>
      </c>
    </row>
    <row r="249" spans="1:18" x14ac:dyDescent="0.25">
      <c r="A249" t="s">
        <v>27</v>
      </c>
      <c r="B249" t="s">
        <v>28</v>
      </c>
      <c r="I249" s="1">
        <v>0</v>
      </c>
      <c r="J249" s="1">
        <v>0</v>
      </c>
      <c r="K249" s="1">
        <v>0</v>
      </c>
      <c r="L249" s="1">
        <v>0</v>
      </c>
      <c r="M249" s="6" t="s">
        <v>2784</v>
      </c>
      <c r="N249" s="1">
        <v>0</v>
      </c>
      <c r="O249" s="1">
        <v>0</v>
      </c>
      <c r="P249" t="s">
        <v>2778</v>
      </c>
      <c r="Q249" t="s">
        <v>2788</v>
      </c>
      <c r="R249" t="s">
        <v>2788</v>
      </c>
    </row>
    <row r="250" spans="1:18" x14ac:dyDescent="0.25">
      <c r="A250" t="s">
        <v>919</v>
      </c>
      <c r="B250" t="s">
        <v>920</v>
      </c>
      <c r="C250" s="1">
        <v>1425</v>
      </c>
      <c r="J250" s="1">
        <v>0</v>
      </c>
      <c r="K250" s="1">
        <v>0</v>
      </c>
      <c r="L250" s="1">
        <v>0</v>
      </c>
      <c r="M250" s="6" t="s">
        <v>2784</v>
      </c>
      <c r="N250" s="1">
        <v>549</v>
      </c>
      <c r="O250" s="1">
        <v>549</v>
      </c>
      <c r="P250" t="s">
        <v>2778</v>
      </c>
      <c r="Q25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50" s="1" t="s">
        <v>2779</v>
      </c>
    </row>
    <row r="251" spans="1:18" x14ac:dyDescent="0.25">
      <c r="A251" t="s">
        <v>921</v>
      </c>
      <c r="B251" t="s">
        <v>922</v>
      </c>
      <c r="C251" s="1">
        <v>60</v>
      </c>
      <c r="I251" s="1">
        <v>0</v>
      </c>
      <c r="J251" s="1">
        <v>0</v>
      </c>
      <c r="K251" s="1">
        <v>0</v>
      </c>
      <c r="L251" s="1">
        <v>0</v>
      </c>
      <c r="M251" s="6" t="s">
        <v>2784</v>
      </c>
      <c r="N251" s="1">
        <v>1</v>
      </c>
      <c r="O251" s="1">
        <v>1</v>
      </c>
      <c r="P251" t="s">
        <v>2778</v>
      </c>
      <c r="Q25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51" s="1" t="s">
        <v>2779</v>
      </c>
    </row>
    <row r="252" spans="1:18" x14ac:dyDescent="0.25">
      <c r="A252" t="s">
        <v>925</v>
      </c>
      <c r="B252" t="s">
        <v>926</v>
      </c>
      <c r="C252" s="1">
        <v>1190</v>
      </c>
      <c r="I252" s="1">
        <v>0</v>
      </c>
      <c r="J252" s="1">
        <v>0</v>
      </c>
      <c r="K252" s="1">
        <v>0</v>
      </c>
      <c r="L252" s="1">
        <v>0</v>
      </c>
      <c r="M252" s="6" t="s">
        <v>2784</v>
      </c>
      <c r="N252" s="1">
        <v>630</v>
      </c>
      <c r="O252" s="1">
        <v>630</v>
      </c>
      <c r="P252" t="s">
        <v>2778</v>
      </c>
      <c r="Q2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52" s="1" t="s">
        <v>2779</v>
      </c>
    </row>
    <row r="253" spans="1:18" x14ac:dyDescent="0.25">
      <c r="A253" t="s">
        <v>929</v>
      </c>
      <c r="B253" t="s">
        <v>930</v>
      </c>
      <c r="C253" s="1">
        <v>265</v>
      </c>
      <c r="I253" s="1">
        <v>0</v>
      </c>
      <c r="J253" s="1">
        <v>0</v>
      </c>
      <c r="K253" s="1">
        <v>0</v>
      </c>
      <c r="L253" s="1">
        <v>0</v>
      </c>
      <c r="M253" s="6" t="s">
        <v>2784</v>
      </c>
      <c r="N253" s="1">
        <v>106</v>
      </c>
      <c r="O253" s="1">
        <v>106</v>
      </c>
      <c r="P253" t="s">
        <v>2778</v>
      </c>
      <c r="Q2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53" s="1" t="s">
        <v>2779</v>
      </c>
    </row>
    <row r="254" spans="1:18" x14ac:dyDescent="0.25">
      <c r="A254" t="s">
        <v>2175</v>
      </c>
      <c r="B254" t="s">
        <v>2176</v>
      </c>
      <c r="C254" s="1">
        <v>6997</v>
      </c>
      <c r="I254" s="1">
        <v>0</v>
      </c>
      <c r="J254" s="1">
        <v>6</v>
      </c>
      <c r="K254" s="1">
        <v>0</v>
      </c>
      <c r="L254" s="1">
        <v>6</v>
      </c>
      <c r="M254" s="6">
        <f>(Table2[[#This Row],[Grand Total of Lead Service Lines Replaced]]/(Table2[[#This Row],[Total to be identified or replaced]]+Table2[[#This Row],[Grand Total of Lead Service Lines Replaced]]))</f>
        <v>0</v>
      </c>
      <c r="N254" s="1">
        <v>3706</v>
      </c>
      <c r="O254" s="1">
        <v>3712</v>
      </c>
      <c r="P254" t="s">
        <v>2778</v>
      </c>
      <c r="Q25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54" s="1" t="s">
        <v>2783</v>
      </c>
    </row>
    <row r="255" spans="1:18" x14ac:dyDescent="0.25">
      <c r="A255" t="s">
        <v>937</v>
      </c>
      <c r="B255" t="s">
        <v>938</v>
      </c>
      <c r="C255" s="1">
        <v>700</v>
      </c>
      <c r="I255" s="1">
        <v>0</v>
      </c>
      <c r="J255" s="1">
        <v>0</v>
      </c>
      <c r="K255" s="1">
        <v>0</v>
      </c>
      <c r="L255" s="1">
        <v>0</v>
      </c>
      <c r="M255" s="6" t="s">
        <v>2784</v>
      </c>
      <c r="N255" s="1">
        <v>299</v>
      </c>
      <c r="O255" s="1">
        <v>299</v>
      </c>
      <c r="P255" t="s">
        <v>2778</v>
      </c>
      <c r="Q25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55" s="1" t="s">
        <v>2779</v>
      </c>
    </row>
    <row r="256" spans="1:18" x14ac:dyDescent="0.25">
      <c r="A256" t="s">
        <v>941</v>
      </c>
      <c r="B256" t="s">
        <v>942</v>
      </c>
      <c r="C256" s="1">
        <v>787</v>
      </c>
      <c r="I256" s="1">
        <v>0</v>
      </c>
      <c r="J256" s="1">
        <v>0</v>
      </c>
      <c r="K256" s="1">
        <v>0</v>
      </c>
      <c r="L256" s="1">
        <v>0</v>
      </c>
      <c r="M256" s="6" t="s">
        <v>2784</v>
      </c>
      <c r="N256" s="1">
        <v>333</v>
      </c>
      <c r="O256" s="1">
        <v>333</v>
      </c>
      <c r="P256" t="s">
        <v>2778</v>
      </c>
      <c r="Q25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56" s="1" t="s">
        <v>2779</v>
      </c>
    </row>
    <row r="257" spans="1:18" x14ac:dyDescent="0.25">
      <c r="A257" t="s">
        <v>945</v>
      </c>
      <c r="B257" t="s">
        <v>946</v>
      </c>
      <c r="C257" s="1">
        <v>19811</v>
      </c>
      <c r="I257" s="1">
        <v>0</v>
      </c>
      <c r="J257" s="1">
        <v>0</v>
      </c>
      <c r="K257" s="1">
        <v>0</v>
      </c>
      <c r="L257" s="1">
        <v>0</v>
      </c>
      <c r="M257" s="6" t="s">
        <v>2784</v>
      </c>
      <c r="N257" s="1">
        <v>7066</v>
      </c>
      <c r="O257" s="1">
        <v>7066</v>
      </c>
      <c r="P257" t="s">
        <v>2778</v>
      </c>
      <c r="Q25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57" s="1" t="s">
        <v>2779</v>
      </c>
    </row>
    <row r="258" spans="1:18" x14ac:dyDescent="0.25">
      <c r="A258" t="s">
        <v>949</v>
      </c>
      <c r="B258" t="s">
        <v>950</v>
      </c>
      <c r="C258" s="1">
        <v>1050</v>
      </c>
      <c r="I258" s="1">
        <v>0</v>
      </c>
      <c r="J258" s="1">
        <v>0</v>
      </c>
      <c r="K258" s="1">
        <v>0</v>
      </c>
      <c r="L258" s="1">
        <v>0</v>
      </c>
      <c r="M258" s="6" t="s">
        <v>2784</v>
      </c>
      <c r="N258" s="1">
        <v>579</v>
      </c>
      <c r="O258" s="1">
        <v>579</v>
      </c>
      <c r="P258" t="s">
        <v>2778</v>
      </c>
      <c r="Q25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58" s="1" t="s">
        <v>2779</v>
      </c>
    </row>
    <row r="259" spans="1:18" x14ac:dyDescent="0.25">
      <c r="A259" t="s">
        <v>1770</v>
      </c>
      <c r="B259" t="s">
        <v>1771</v>
      </c>
      <c r="C259" s="1">
        <v>58</v>
      </c>
      <c r="J259" s="1">
        <v>62</v>
      </c>
      <c r="L259" s="1">
        <v>62</v>
      </c>
      <c r="M259" s="6">
        <f>(Table2[[#This Row],[Grand Total of Lead Service Lines Replaced]]/(Table2[[#This Row],[Total to be identified or replaced]]+Table2[[#This Row],[Grand Total of Lead Service Lines Replaced]]))</f>
        <v>0</v>
      </c>
      <c r="N259" s="1">
        <v>49</v>
      </c>
      <c r="O259" s="1">
        <v>111</v>
      </c>
      <c r="P259" t="s">
        <v>2778</v>
      </c>
      <c r="Q25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59" s="1" t="s">
        <v>2783</v>
      </c>
    </row>
    <row r="260" spans="1:18" x14ac:dyDescent="0.25">
      <c r="A260" t="s">
        <v>957</v>
      </c>
      <c r="B260" t="s">
        <v>958</v>
      </c>
      <c r="C260" s="1">
        <v>165</v>
      </c>
      <c r="I260" s="1">
        <v>0</v>
      </c>
      <c r="J260" s="1">
        <v>0</v>
      </c>
      <c r="K260" s="1">
        <v>0</v>
      </c>
      <c r="L260" s="1">
        <v>0</v>
      </c>
      <c r="M260" s="6" t="s">
        <v>2784</v>
      </c>
      <c r="N260" s="1">
        <v>200</v>
      </c>
      <c r="O260" s="1">
        <v>200</v>
      </c>
      <c r="P260" t="s">
        <v>2778</v>
      </c>
      <c r="Q26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60" s="1" t="s">
        <v>2779</v>
      </c>
    </row>
    <row r="261" spans="1:18" x14ac:dyDescent="0.25">
      <c r="A261" t="s">
        <v>2211</v>
      </c>
      <c r="B261" t="s">
        <v>2212</v>
      </c>
      <c r="C261" s="1">
        <v>3916</v>
      </c>
      <c r="I261" s="1">
        <v>0</v>
      </c>
      <c r="J261" s="1">
        <v>2</v>
      </c>
      <c r="K261" s="1">
        <v>0</v>
      </c>
      <c r="L261" s="1">
        <v>2</v>
      </c>
      <c r="M261" s="6">
        <f>(Table2[[#This Row],[Grand Total of Lead Service Lines Replaced]]/(Table2[[#This Row],[Total to be identified or replaced]]+Table2[[#This Row],[Grand Total of Lead Service Lines Replaced]]))</f>
        <v>0</v>
      </c>
      <c r="N261" s="1">
        <v>663</v>
      </c>
      <c r="O261" s="1">
        <v>665</v>
      </c>
      <c r="P261" t="s">
        <v>2778</v>
      </c>
      <c r="Q26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61" s="1" t="s">
        <v>2783</v>
      </c>
    </row>
    <row r="262" spans="1:18" x14ac:dyDescent="0.25">
      <c r="A262" t="s">
        <v>965</v>
      </c>
      <c r="B262" t="s">
        <v>966</v>
      </c>
      <c r="C262" s="1">
        <v>210</v>
      </c>
      <c r="I262" s="1">
        <v>0</v>
      </c>
      <c r="J262" s="1">
        <v>0</v>
      </c>
      <c r="K262" s="1">
        <v>0</v>
      </c>
      <c r="L262" s="1">
        <v>0</v>
      </c>
      <c r="M262" s="6" t="s">
        <v>2784</v>
      </c>
      <c r="N262" s="1">
        <v>125</v>
      </c>
      <c r="O262" s="1">
        <v>125</v>
      </c>
      <c r="P262" t="s">
        <v>2778</v>
      </c>
      <c r="Q26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62" s="1" t="s">
        <v>2779</v>
      </c>
    </row>
    <row r="263" spans="1:18" x14ac:dyDescent="0.25">
      <c r="A263" t="s">
        <v>969</v>
      </c>
      <c r="B263" t="s">
        <v>970</v>
      </c>
      <c r="C263" s="1">
        <v>128</v>
      </c>
      <c r="I263" s="1">
        <v>0</v>
      </c>
      <c r="J263" s="1">
        <v>0</v>
      </c>
      <c r="K263" s="1">
        <v>0</v>
      </c>
      <c r="L263" s="1">
        <v>0</v>
      </c>
      <c r="M263" s="6" t="s">
        <v>2784</v>
      </c>
      <c r="N263" s="1">
        <v>51</v>
      </c>
      <c r="O263" s="1">
        <v>51</v>
      </c>
      <c r="P263" t="s">
        <v>2778</v>
      </c>
      <c r="Q2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63" s="1" t="s">
        <v>2779</v>
      </c>
    </row>
    <row r="264" spans="1:18" x14ac:dyDescent="0.25">
      <c r="A264" t="s">
        <v>2213</v>
      </c>
      <c r="B264" t="s">
        <v>2214</v>
      </c>
      <c r="C264" s="1">
        <v>1</v>
      </c>
      <c r="I264" s="1">
        <v>0</v>
      </c>
      <c r="J264" s="1">
        <v>2</v>
      </c>
      <c r="K264" s="1">
        <v>0</v>
      </c>
      <c r="L264" s="1">
        <v>2</v>
      </c>
      <c r="M264" s="6">
        <f>(Table2[[#This Row],[Grand Total of Lead Service Lines Replaced]]/(Table2[[#This Row],[Total to be identified or replaced]]+Table2[[#This Row],[Grand Total of Lead Service Lines Replaced]]))</f>
        <v>0</v>
      </c>
      <c r="N264" s="1">
        <v>310</v>
      </c>
      <c r="O264" s="1">
        <v>312</v>
      </c>
      <c r="P264" t="s">
        <v>2778</v>
      </c>
      <c r="Q26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64" s="1" t="s">
        <v>2783</v>
      </c>
    </row>
    <row r="265" spans="1:18" x14ac:dyDescent="0.25">
      <c r="A265" t="s">
        <v>977</v>
      </c>
      <c r="B265" t="s">
        <v>978</v>
      </c>
      <c r="C265" s="1">
        <v>165</v>
      </c>
      <c r="I265" s="1">
        <v>0</v>
      </c>
      <c r="J265" s="1">
        <v>0</v>
      </c>
      <c r="K265" s="1">
        <v>0</v>
      </c>
      <c r="L265" s="1">
        <v>0</v>
      </c>
      <c r="M265" s="6" t="s">
        <v>2784</v>
      </c>
      <c r="N265" s="1">
        <v>1</v>
      </c>
      <c r="O265" s="1">
        <v>1</v>
      </c>
      <c r="P265" t="s">
        <v>2778</v>
      </c>
      <c r="Q26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65" s="1" t="s">
        <v>2779</v>
      </c>
    </row>
    <row r="266" spans="1:18" x14ac:dyDescent="0.25">
      <c r="A266" t="s">
        <v>981</v>
      </c>
      <c r="B266" t="s">
        <v>982</v>
      </c>
      <c r="C266" s="1">
        <v>2028</v>
      </c>
      <c r="D266" s="1">
        <v>2</v>
      </c>
      <c r="H266" s="1">
        <v>2</v>
      </c>
      <c r="I266" s="1">
        <v>0</v>
      </c>
      <c r="J266" s="1">
        <v>0</v>
      </c>
      <c r="K266" s="1">
        <v>0</v>
      </c>
      <c r="L266" s="1">
        <v>0</v>
      </c>
      <c r="M266" s="6">
        <f>(Table2[[#This Row],[Grand Total of Lead Service Lines Replaced]]/(Table2[[#This Row],[Total to be identified or replaced]]+Table2[[#This Row],[Grand Total of Lead Service Lines Replaced]]))</f>
        <v>1</v>
      </c>
      <c r="N266" s="1">
        <v>885</v>
      </c>
      <c r="O266" s="1">
        <v>885</v>
      </c>
      <c r="P266" t="s">
        <v>2778</v>
      </c>
      <c r="Q266" t="s">
        <v>2785</v>
      </c>
      <c r="R266" s="7" t="s">
        <v>2786</v>
      </c>
    </row>
    <row r="267" spans="1:18" x14ac:dyDescent="0.25">
      <c r="A267" t="s">
        <v>985</v>
      </c>
      <c r="B267" t="s">
        <v>986</v>
      </c>
      <c r="C267" s="1">
        <v>34</v>
      </c>
      <c r="I267" s="1">
        <v>0</v>
      </c>
      <c r="J267" s="1">
        <v>0</v>
      </c>
      <c r="K267" s="1">
        <v>0</v>
      </c>
      <c r="L267" s="1">
        <v>0</v>
      </c>
      <c r="M267" s="6" t="s">
        <v>2784</v>
      </c>
      <c r="N267" s="1">
        <v>29</v>
      </c>
      <c r="O267" s="1">
        <v>29</v>
      </c>
      <c r="P267" t="s">
        <v>2778</v>
      </c>
      <c r="Q26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67" s="1" t="s">
        <v>2779</v>
      </c>
    </row>
    <row r="268" spans="1:18" x14ac:dyDescent="0.25">
      <c r="A268" t="s">
        <v>1917</v>
      </c>
      <c r="B268" t="s">
        <v>1918</v>
      </c>
      <c r="C268" s="1">
        <v>439</v>
      </c>
      <c r="I268" s="1">
        <v>0</v>
      </c>
      <c r="J268" s="1">
        <v>3</v>
      </c>
      <c r="K268" s="1">
        <v>38</v>
      </c>
      <c r="L268" s="1">
        <v>41</v>
      </c>
      <c r="M268" s="6">
        <f>(Table2[[#This Row],[Grand Total of Lead Service Lines Replaced]]/(Table2[[#This Row],[Total to be identified or replaced]]+Table2[[#This Row],[Grand Total of Lead Service Lines Replaced]]))</f>
        <v>0</v>
      </c>
      <c r="N268" s="1">
        <v>139</v>
      </c>
      <c r="O268" s="1">
        <v>180</v>
      </c>
      <c r="P268" t="s">
        <v>2778</v>
      </c>
      <c r="Q26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68" s="1" t="s">
        <v>2783</v>
      </c>
    </row>
    <row r="269" spans="1:18" x14ac:dyDescent="0.25">
      <c r="A269" t="s">
        <v>993</v>
      </c>
      <c r="B269" t="s">
        <v>994</v>
      </c>
      <c r="C269" s="1">
        <v>3200</v>
      </c>
      <c r="E269" s="1">
        <v>1</v>
      </c>
      <c r="F269" s="1">
        <v>1</v>
      </c>
      <c r="H269" s="1">
        <v>2</v>
      </c>
      <c r="I269" s="1">
        <v>0</v>
      </c>
      <c r="J269" s="1">
        <v>0</v>
      </c>
      <c r="K269" s="1">
        <v>0</v>
      </c>
      <c r="L269" s="1">
        <v>0</v>
      </c>
      <c r="M269" s="6">
        <f>(Table2[[#This Row],[Grand Total of Lead Service Lines Replaced]]/(Table2[[#This Row],[Total to be identified or replaced]]+Table2[[#This Row],[Grand Total of Lead Service Lines Replaced]]))</f>
        <v>1</v>
      </c>
      <c r="N269" s="1">
        <v>798</v>
      </c>
      <c r="O269" s="1">
        <v>798</v>
      </c>
      <c r="P269" t="s">
        <v>2778</v>
      </c>
      <c r="Q269" t="s">
        <v>2785</v>
      </c>
      <c r="R269" s="7" t="s">
        <v>2786</v>
      </c>
    </row>
    <row r="270" spans="1:18" x14ac:dyDescent="0.25">
      <c r="A270" t="s">
        <v>999</v>
      </c>
      <c r="B270" t="s">
        <v>1000</v>
      </c>
      <c r="C270" s="1">
        <v>180</v>
      </c>
      <c r="I270" s="1">
        <v>0</v>
      </c>
      <c r="J270" s="1">
        <v>0</v>
      </c>
      <c r="K270" s="1">
        <v>0</v>
      </c>
      <c r="L270" s="1">
        <v>0</v>
      </c>
      <c r="M270" s="6" t="s">
        <v>2784</v>
      </c>
      <c r="N270" s="1">
        <v>70</v>
      </c>
      <c r="O270" s="1">
        <v>70</v>
      </c>
      <c r="P270" t="s">
        <v>2778</v>
      </c>
      <c r="Q27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70" s="1" t="s">
        <v>2779</v>
      </c>
    </row>
    <row r="271" spans="1:18" x14ac:dyDescent="0.25">
      <c r="A271" t="s">
        <v>1290</v>
      </c>
      <c r="B271" t="s">
        <v>1291</v>
      </c>
      <c r="C271" s="1">
        <v>476</v>
      </c>
      <c r="J271" s="1">
        <v>113</v>
      </c>
      <c r="L271" s="1">
        <v>113</v>
      </c>
      <c r="M271" s="6">
        <f>(Table2[[#This Row],[Grand Total of Lead Service Lines Replaced]]/(Table2[[#This Row],[Total to be identified or replaced]]+Table2[[#This Row],[Grand Total of Lead Service Lines Replaced]]))</f>
        <v>0</v>
      </c>
      <c r="N271" s="1">
        <v>87</v>
      </c>
      <c r="O271" s="1">
        <v>200</v>
      </c>
      <c r="P271" t="s">
        <v>2778</v>
      </c>
      <c r="Q27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71" s="1" t="s">
        <v>2783</v>
      </c>
    </row>
    <row r="272" spans="1:18" x14ac:dyDescent="0.25">
      <c r="A272" t="s">
        <v>1007</v>
      </c>
      <c r="B272" t="s">
        <v>1008</v>
      </c>
      <c r="C272" s="1">
        <v>60</v>
      </c>
      <c r="I272" s="1">
        <v>0</v>
      </c>
      <c r="J272" s="1">
        <v>0</v>
      </c>
      <c r="K272" s="1">
        <v>0</v>
      </c>
      <c r="L272" s="1">
        <v>0</v>
      </c>
      <c r="M272" s="6" t="s">
        <v>2784</v>
      </c>
      <c r="N272" s="1">
        <v>5</v>
      </c>
      <c r="O272" s="1">
        <v>5</v>
      </c>
      <c r="P272" t="s">
        <v>2778</v>
      </c>
      <c r="Q27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72" s="1" t="s">
        <v>2779</v>
      </c>
    </row>
    <row r="273" spans="1:18" x14ac:dyDescent="0.25">
      <c r="A273" t="s">
        <v>1011</v>
      </c>
      <c r="B273" t="s">
        <v>1012</v>
      </c>
      <c r="C273" s="1">
        <v>174</v>
      </c>
      <c r="I273" s="1">
        <v>0</v>
      </c>
      <c r="J273" s="1">
        <v>0</v>
      </c>
      <c r="K273" s="1">
        <v>0</v>
      </c>
      <c r="L273" s="1">
        <v>0</v>
      </c>
      <c r="M273" s="6" t="s">
        <v>2784</v>
      </c>
      <c r="N273" s="1">
        <v>69</v>
      </c>
      <c r="O273" s="1">
        <v>69</v>
      </c>
      <c r="P273" t="s">
        <v>2778</v>
      </c>
      <c r="Q2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73" s="1" t="s">
        <v>2779</v>
      </c>
    </row>
    <row r="274" spans="1:18" x14ac:dyDescent="0.25">
      <c r="A274" t="s">
        <v>1015</v>
      </c>
      <c r="B274" t="s">
        <v>1016</v>
      </c>
      <c r="C274" s="1">
        <v>148</v>
      </c>
      <c r="L274" s="1">
        <v>0</v>
      </c>
      <c r="M274" s="6" t="s">
        <v>2784</v>
      </c>
      <c r="N274" s="1">
        <v>46</v>
      </c>
      <c r="O274" s="1">
        <v>46</v>
      </c>
      <c r="P274" t="s">
        <v>2778</v>
      </c>
      <c r="Q27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74" s="1" t="s">
        <v>2779</v>
      </c>
    </row>
    <row r="275" spans="1:18" x14ac:dyDescent="0.25">
      <c r="A275" t="s">
        <v>1017</v>
      </c>
      <c r="B275" t="s">
        <v>1018</v>
      </c>
      <c r="C275" s="1">
        <v>56</v>
      </c>
      <c r="I275" s="1">
        <v>0</v>
      </c>
      <c r="J275" s="1">
        <v>0</v>
      </c>
      <c r="K275" s="1">
        <v>0</v>
      </c>
      <c r="L275" s="1">
        <v>0</v>
      </c>
      <c r="M275" s="6" t="s">
        <v>2784</v>
      </c>
      <c r="N275" s="1">
        <v>2</v>
      </c>
      <c r="O275" s="1">
        <v>2</v>
      </c>
      <c r="P275">
        <v>2018</v>
      </c>
      <c r="Q27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75" s="1" t="s">
        <v>2779</v>
      </c>
    </row>
    <row r="276" spans="1:18" x14ac:dyDescent="0.25">
      <c r="A276" t="s">
        <v>1019</v>
      </c>
      <c r="B276" t="s">
        <v>1020</v>
      </c>
      <c r="C276" s="1">
        <v>35</v>
      </c>
      <c r="I276" s="1">
        <v>0</v>
      </c>
      <c r="J276" s="1">
        <v>0</v>
      </c>
      <c r="K276" s="1">
        <v>0</v>
      </c>
      <c r="L276" s="1">
        <v>0</v>
      </c>
      <c r="M276" s="6" t="s">
        <v>2784</v>
      </c>
      <c r="N276" s="1">
        <v>2</v>
      </c>
      <c r="O276" s="1">
        <v>2</v>
      </c>
      <c r="P276" t="s">
        <v>2778</v>
      </c>
      <c r="Q27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76" s="1" t="s">
        <v>2779</v>
      </c>
    </row>
    <row r="277" spans="1:18" x14ac:dyDescent="0.25">
      <c r="A277" t="s">
        <v>2387</v>
      </c>
      <c r="B277" t="s">
        <v>2388</v>
      </c>
      <c r="C277" s="1">
        <v>90</v>
      </c>
      <c r="I277" s="1">
        <v>0</v>
      </c>
      <c r="J277" s="1">
        <v>0</v>
      </c>
      <c r="K277" s="1">
        <v>0</v>
      </c>
      <c r="L277" s="1">
        <v>0</v>
      </c>
      <c r="M277" s="6" t="s">
        <v>2784</v>
      </c>
      <c r="N277" s="1">
        <v>37</v>
      </c>
      <c r="O277" s="1">
        <v>37</v>
      </c>
      <c r="P277">
        <v>2019</v>
      </c>
      <c r="Q27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77" s="1" t="s">
        <v>2779</v>
      </c>
    </row>
    <row r="278" spans="1:18" x14ac:dyDescent="0.25">
      <c r="A278" t="s">
        <v>1027</v>
      </c>
      <c r="B278" t="s">
        <v>1024</v>
      </c>
      <c r="C278" s="1">
        <v>87</v>
      </c>
      <c r="I278" s="1">
        <v>0</v>
      </c>
      <c r="J278" s="1">
        <v>0</v>
      </c>
      <c r="K278" s="1">
        <v>0</v>
      </c>
      <c r="L278" s="1">
        <v>0</v>
      </c>
      <c r="M278" s="6" t="s">
        <v>2784</v>
      </c>
      <c r="N278" s="1">
        <v>45</v>
      </c>
      <c r="O278" s="1">
        <v>45</v>
      </c>
      <c r="P278" t="s">
        <v>2778</v>
      </c>
      <c r="Q27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78" s="1" t="s">
        <v>2779</v>
      </c>
    </row>
    <row r="279" spans="1:18" x14ac:dyDescent="0.25">
      <c r="A279" t="s">
        <v>1030</v>
      </c>
      <c r="B279" t="s">
        <v>1031</v>
      </c>
      <c r="C279" s="1">
        <v>98</v>
      </c>
      <c r="I279" s="1">
        <v>0</v>
      </c>
      <c r="J279" s="1">
        <v>0</v>
      </c>
      <c r="K279" s="1">
        <v>0</v>
      </c>
      <c r="L279" s="1">
        <v>0</v>
      </c>
      <c r="M279" s="6" t="s">
        <v>2784</v>
      </c>
      <c r="N279" s="1">
        <v>41</v>
      </c>
      <c r="O279" s="1">
        <v>41</v>
      </c>
      <c r="P279" t="s">
        <v>2778</v>
      </c>
      <c r="Q2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79" s="1" t="s">
        <v>2779</v>
      </c>
    </row>
    <row r="280" spans="1:18" x14ac:dyDescent="0.25">
      <c r="A280" t="s">
        <v>1032</v>
      </c>
      <c r="B280" t="s">
        <v>1033</v>
      </c>
      <c r="C280" s="1">
        <v>158</v>
      </c>
      <c r="I280" s="1">
        <v>0</v>
      </c>
      <c r="J280" s="1">
        <v>0</v>
      </c>
      <c r="K280" s="1">
        <v>0</v>
      </c>
      <c r="L280" s="1">
        <v>0</v>
      </c>
      <c r="M280" s="6" t="s">
        <v>2784</v>
      </c>
      <c r="N280" s="1">
        <v>63</v>
      </c>
      <c r="O280" s="1">
        <v>63</v>
      </c>
      <c r="P280" t="s">
        <v>2778</v>
      </c>
      <c r="Q28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80" s="1" t="s">
        <v>2779</v>
      </c>
    </row>
    <row r="281" spans="1:18" x14ac:dyDescent="0.25">
      <c r="A281" t="s">
        <v>1034</v>
      </c>
      <c r="B281" t="s">
        <v>1035</v>
      </c>
      <c r="C281" s="1">
        <v>115</v>
      </c>
      <c r="I281" s="1">
        <v>0</v>
      </c>
      <c r="J281" s="1">
        <v>0</v>
      </c>
      <c r="K281" s="1">
        <v>0</v>
      </c>
      <c r="L281" s="1">
        <v>0</v>
      </c>
      <c r="M281" s="6" t="s">
        <v>2784</v>
      </c>
      <c r="N281" s="1">
        <v>66</v>
      </c>
      <c r="O281" s="1">
        <v>66</v>
      </c>
      <c r="P281" t="s">
        <v>2778</v>
      </c>
      <c r="Q2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81" s="1" t="s">
        <v>2779</v>
      </c>
    </row>
    <row r="282" spans="1:18" x14ac:dyDescent="0.25">
      <c r="A282" t="s">
        <v>1038</v>
      </c>
      <c r="B282" t="s">
        <v>1039</v>
      </c>
      <c r="C282" s="1">
        <v>40</v>
      </c>
      <c r="I282" s="1">
        <v>0</v>
      </c>
      <c r="J282" s="1">
        <v>0</v>
      </c>
      <c r="K282" s="1">
        <v>0</v>
      </c>
      <c r="L282" s="1">
        <v>0</v>
      </c>
      <c r="M282" s="6" t="s">
        <v>2784</v>
      </c>
      <c r="N282" s="1">
        <v>1</v>
      </c>
      <c r="O282" s="1">
        <v>1</v>
      </c>
      <c r="P282" t="s">
        <v>2778</v>
      </c>
      <c r="Q28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82" s="1" t="s">
        <v>2779</v>
      </c>
    </row>
    <row r="283" spans="1:18" x14ac:dyDescent="0.25">
      <c r="A283" t="s">
        <v>2579</v>
      </c>
      <c r="B283" t="s">
        <v>2580</v>
      </c>
      <c r="C283" s="1">
        <v>5799</v>
      </c>
      <c r="I283" s="1">
        <v>0</v>
      </c>
      <c r="J283" s="1">
        <v>0</v>
      </c>
      <c r="K283" s="1">
        <v>0</v>
      </c>
      <c r="L283" s="1">
        <v>0</v>
      </c>
      <c r="M283" s="6" t="s">
        <v>2784</v>
      </c>
      <c r="N283" s="1">
        <v>2419</v>
      </c>
      <c r="O283" s="1">
        <v>2419</v>
      </c>
      <c r="P283">
        <v>2019</v>
      </c>
      <c r="Q28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83" s="1" t="s">
        <v>2779</v>
      </c>
    </row>
    <row r="284" spans="1:18" x14ac:dyDescent="0.25">
      <c r="A284" t="s">
        <v>1044</v>
      </c>
      <c r="B284" t="s">
        <v>1045</v>
      </c>
      <c r="C284" s="1">
        <v>55</v>
      </c>
      <c r="L284" s="1">
        <v>0</v>
      </c>
      <c r="M284" s="6" t="s">
        <v>2784</v>
      </c>
      <c r="N284" s="1">
        <v>43</v>
      </c>
      <c r="O284" s="1">
        <v>43</v>
      </c>
      <c r="P284" t="s">
        <v>2778</v>
      </c>
      <c r="Q28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84" s="1" t="s">
        <v>2779</v>
      </c>
    </row>
    <row r="285" spans="1:18" x14ac:dyDescent="0.25">
      <c r="A285" t="s">
        <v>779</v>
      </c>
      <c r="B285" t="s">
        <v>780</v>
      </c>
      <c r="C285" s="1">
        <v>1204</v>
      </c>
      <c r="I285" s="1">
        <v>2</v>
      </c>
      <c r="J285" s="1">
        <v>0</v>
      </c>
      <c r="K285" s="1">
        <v>429</v>
      </c>
      <c r="L285" s="1">
        <v>431</v>
      </c>
      <c r="M285" s="6">
        <f>(Table2[[#This Row],[Grand Total of Lead Service Lines Replaced]]/(Table2[[#This Row],[Total to be identified or replaced]]+Table2[[#This Row],[Grand Total of Lead Service Lines Replaced]]))</f>
        <v>0</v>
      </c>
      <c r="N285" s="1">
        <v>208</v>
      </c>
      <c r="O285" s="1">
        <v>639</v>
      </c>
      <c r="P285" t="s">
        <v>2778</v>
      </c>
      <c r="Q28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85" s="1" t="s">
        <v>2783</v>
      </c>
    </row>
    <row r="286" spans="1:18" x14ac:dyDescent="0.25">
      <c r="A286" t="s">
        <v>1050</v>
      </c>
      <c r="B286" t="s">
        <v>1051</v>
      </c>
      <c r="C286" s="1">
        <v>78</v>
      </c>
      <c r="I286" s="1">
        <v>0</v>
      </c>
      <c r="J286" s="1">
        <v>0</v>
      </c>
      <c r="K286" s="1">
        <v>0</v>
      </c>
      <c r="L286" s="1">
        <v>0</v>
      </c>
      <c r="M286" s="6" t="s">
        <v>2784</v>
      </c>
      <c r="N286" s="1">
        <v>32</v>
      </c>
      <c r="O286" s="1">
        <v>32</v>
      </c>
      <c r="P286" t="s">
        <v>2778</v>
      </c>
      <c r="Q28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86" s="1" t="s">
        <v>2779</v>
      </c>
    </row>
    <row r="287" spans="1:18" x14ac:dyDescent="0.25">
      <c r="A287" t="s">
        <v>1052</v>
      </c>
      <c r="B287" t="s">
        <v>1053</v>
      </c>
      <c r="C287" s="1">
        <v>80</v>
      </c>
      <c r="I287" s="1">
        <v>0</v>
      </c>
      <c r="J287" s="1">
        <v>0</v>
      </c>
      <c r="K287" s="1">
        <v>0</v>
      </c>
      <c r="L287" s="1">
        <v>0</v>
      </c>
      <c r="M287" s="6" t="s">
        <v>2784</v>
      </c>
      <c r="N287" s="1">
        <v>41</v>
      </c>
      <c r="O287" s="1">
        <v>41</v>
      </c>
      <c r="P287" t="s">
        <v>2778</v>
      </c>
      <c r="Q28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87" s="1" t="s">
        <v>2779</v>
      </c>
    </row>
    <row r="288" spans="1:18" x14ac:dyDescent="0.25">
      <c r="A288" t="s">
        <v>1056</v>
      </c>
      <c r="B288" t="s">
        <v>1057</v>
      </c>
      <c r="C288" s="1">
        <v>60</v>
      </c>
      <c r="I288" s="1">
        <v>0</v>
      </c>
      <c r="J288" s="1">
        <v>0</v>
      </c>
      <c r="K288" s="1">
        <v>0</v>
      </c>
      <c r="L288" s="1">
        <v>0</v>
      </c>
      <c r="M288" s="6" t="s">
        <v>2784</v>
      </c>
      <c r="N288" s="1">
        <v>2</v>
      </c>
      <c r="O288" s="1">
        <v>2</v>
      </c>
      <c r="P288" t="s">
        <v>2778</v>
      </c>
      <c r="Q28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88" s="1" t="s">
        <v>2779</v>
      </c>
    </row>
    <row r="289" spans="1:18" x14ac:dyDescent="0.25">
      <c r="A289" t="s">
        <v>1058</v>
      </c>
      <c r="B289" t="s">
        <v>1059</v>
      </c>
      <c r="C289" s="1">
        <v>490</v>
      </c>
      <c r="I289" s="1">
        <v>0</v>
      </c>
      <c r="J289" s="1">
        <v>0</v>
      </c>
      <c r="K289" s="1">
        <v>0</v>
      </c>
      <c r="L289" s="1">
        <v>0</v>
      </c>
      <c r="M289" s="6" t="s">
        <v>2784</v>
      </c>
      <c r="N289" s="1">
        <v>360</v>
      </c>
      <c r="O289" s="1">
        <v>360</v>
      </c>
      <c r="P289" t="s">
        <v>2778</v>
      </c>
      <c r="Q28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89" s="1" t="s">
        <v>2779</v>
      </c>
    </row>
    <row r="290" spans="1:18" x14ac:dyDescent="0.25">
      <c r="A290" t="s">
        <v>301</v>
      </c>
      <c r="B290" t="s">
        <v>302</v>
      </c>
      <c r="C290" s="1">
        <v>125</v>
      </c>
      <c r="I290" s="1">
        <v>0</v>
      </c>
      <c r="J290" s="1">
        <v>0</v>
      </c>
      <c r="K290" s="1">
        <v>0</v>
      </c>
      <c r="L290" s="1">
        <v>0</v>
      </c>
      <c r="M290" s="6" t="s">
        <v>2784</v>
      </c>
      <c r="N290" s="1">
        <v>53</v>
      </c>
      <c r="O290" s="1">
        <v>53</v>
      </c>
      <c r="P290">
        <v>2020</v>
      </c>
      <c r="Q29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90" s="1" t="s">
        <v>2779</v>
      </c>
    </row>
    <row r="291" spans="1:18" x14ac:dyDescent="0.25">
      <c r="A291" t="s">
        <v>1064</v>
      </c>
      <c r="B291" t="s">
        <v>1065</v>
      </c>
      <c r="C291" s="1">
        <v>1755</v>
      </c>
      <c r="I291" s="1">
        <v>0</v>
      </c>
      <c r="J291" s="1">
        <v>0</v>
      </c>
      <c r="K291" s="1">
        <v>0</v>
      </c>
      <c r="L291" s="1">
        <v>0</v>
      </c>
      <c r="M291" s="6" t="s">
        <v>2784</v>
      </c>
      <c r="N291" s="1">
        <v>826</v>
      </c>
      <c r="O291" s="1">
        <v>826</v>
      </c>
      <c r="P291" t="s">
        <v>2778</v>
      </c>
      <c r="Q29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91" s="1" t="s">
        <v>2779</v>
      </c>
    </row>
    <row r="292" spans="1:18" x14ac:dyDescent="0.25">
      <c r="A292" t="s">
        <v>1068</v>
      </c>
      <c r="B292" t="s">
        <v>1069</v>
      </c>
      <c r="C292" s="1">
        <v>820</v>
      </c>
      <c r="I292" s="1">
        <v>0</v>
      </c>
      <c r="J292" s="1">
        <v>0</v>
      </c>
      <c r="K292" s="1">
        <v>0</v>
      </c>
      <c r="L292" s="1">
        <v>0</v>
      </c>
      <c r="M292" s="6" t="s">
        <v>2784</v>
      </c>
      <c r="N292" s="1">
        <v>326</v>
      </c>
      <c r="O292" s="1">
        <v>326</v>
      </c>
      <c r="P292" t="s">
        <v>2778</v>
      </c>
      <c r="Q29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92" s="1" t="s">
        <v>2779</v>
      </c>
    </row>
    <row r="293" spans="1:18" x14ac:dyDescent="0.25">
      <c r="A293" t="s">
        <v>1070</v>
      </c>
      <c r="B293" t="s">
        <v>1071</v>
      </c>
      <c r="C293" s="1">
        <v>48</v>
      </c>
      <c r="I293" s="1">
        <v>0</v>
      </c>
      <c r="J293" s="1">
        <v>0</v>
      </c>
      <c r="K293" s="1">
        <v>0</v>
      </c>
      <c r="L293" s="1">
        <v>0</v>
      </c>
      <c r="M293" s="6" t="s">
        <v>2784</v>
      </c>
      <c r="N293" s="1">
        <v>2</v>
      </c>
      <c r="O293" s="1">
        <v>2</v>
      </c>
      <c r="P293" t="s">
        <v>2778</v>
      </c>
      <c r="Q29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93" s="1" t="s">
        <v>2779</v>
      </c>
    </row>
    <row r="294" spans="1:18" x14ac:dyDescent="0.25">
      <c r="A294" t="s">
        <v>1074</v>
      </c>
      <c r="B294" t="s">
        <v>1075</v>
      </c>
      <c r="C294" s="1">
        <v>387</v>
      </c>
      <c r="I294" s="1">
        <v>0</v>
      </c>
      <c r="J294" s="1">
        <v>0</v>
      </c>
      <c r="K294" s="1">
        <v>0</v>
      </c>
      <c r="L294" s="1">
        <v>0</v>
      </c>
      <c r="M294" s="6" t="s">
        <v>2784</v>
      </c>
      <c r="N294" s="1">
        <v>210</v>
      </c>
      <c r="O294" s="1">
        <v>210</v>
      </c>
      <c r="P294" t="s">
        <v>2778</v>
      </c>
      <c r="Q29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94" s="1" t="s">
        <v>2779</v>
      </c>
    </row>
    <row r="295" spans="1:18" x14ac:dyDescent="0.25">
      <c r="A295" t="s">
        <v>1274</v>
      </c>
      <c r="B295" t="s">
        <v>1275</v>
      </c>
      <c r="C295" s="1">
        <v>80</v>
      </c>
      <c r="I295" s="1">
        <v>0</v>
      </c>
      <c r="K295" s="1">
        <v>0</v>
      </c>
      <c r="L295" s="1">
        <v>0</v>
      </c>
      <c r="M295" s="6" t="s">
        <v>2784</v>
      </c>
      <c r="P295" t="s">
        <v>2778</v>
      </c>
      <c r="Q295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295" s="1" t="s">
        <v>2782</v>
      </c>
    </row>
    <row r="296" spans="1:18" x14ac:dyDescent="0.25">
      <c r="A296" t="s">
        <v>1080</v>
      </c>
      <c r="B296" t="s">
        <v>1081</v>
      </c>
      <c r="C296" s="1">
        <v>155</v>
      </c>
      <c r="I296" s="1">
        <v>0</v>
      </c>
      <c r="J296" s="1">
        <v>0</v>
      </c>
      <c r="K296" s="1">
        <v>0</v>
      </c>
      <c r="L296" s="1">
        <v>0</v>
      </c>
      <c r="M296" s="6" t="s">
        <v>2784</v>
      </c>
      <c r="N296" s="1">
        <v>63</v>
      </c>
      <c r="O296" s="1">
        <v>63</v>
      </c>
      <c r="P296" t="s">
        <v>2778</v>
      </c>
      <c r="Q29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96" s="1" t="s">
        <v>2779</v>
      </c>
    </row>
    <row r="297" spans="1:18" x14ac:dyDescent="0.25">
      <c r="A297" t="s">
        <v>1082</v>
      </c>
      <c r="B297" t="s">
        <v>1083</v>
      </c>
      <c r="C297" s="1">
        <v>413</v>
      </c>
      <c r="I297" s="1">
        <v>0</v>
      </c>
      <c r="J297" s="1">
        <v>0</v>
      </c>
      <c r="K297" s="1">
        <v>0</v>
      </c>
      <c r="L297" s="1">
        <v>0</v>
      </c>
      <c r="M297" s="6" t="s">
        <v>2784</v>
      </c>
      <c r="N297" s="1">
        <v>165</v>
      </c>
      <c r="O297" s="1">
        <v>165</v>
      </c>
      <c r="P297" t="s">
        <v>2778</v>
      </c>
      <c r="Q29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97" s="1" t="s">
        <v>2779</v>
      </c>
    </row>
    <row r="298" spans="1:18" x14ac:dyDescent="0.25">
      <c r="A298" t="s">
        <v>2061</v>
      </c>
      <c r="B298" t="s">
        <v>2062</v>
      </c>
      <c r="C298" s="1">
        <v>135</v>
      </c>
      <c r="I298" s="1">
        <v>0</v>
      </c>
      <c r="J298" s="1">
        <v>0</v>
      </c>
      <c r="K298" s="1">
        <v>33</v>
      </c>
      <c r="L298" s="1">
        <v>33</v>
      </c>
      <c r="M298" s="6">
        <f>(Table2[[#This Row],[Grand Total of Lead Service Lines Replaced]]/(Table2[[#This Row],[Total to be identified or replaced]]+Table2[[#This Row],[Grand Total of Lead Service Lines Replaced]]))</f>
        <v>0</v>
      </c>
      <c r="N298" s="1">
        <v>15</v>
      </c>
      <c r="O298" s="1">
        <v>48</v>
      </c>
      <c r="P298" t="s">
        <v>2778</v>
      </c>
      <c r="Q29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298" s="1" t="s">
        <v>2783</v>
      </c>
    </row>
    <row r="299" spans="1:18" x14ac:dyDescent="0.25">
      <c r="A299" t="s">
        <v>1084</v>
      </c>
      <c r="B299" t="s">
        <v>1085</v>
      </c>
      <c r="C299" s="1">
        <v>32</v>
      </c>
      <c r="I299" s="1">
        <v>0</v>
      </c>
      <c r="J299" s="1">
        <v>0</v>
      </c>
      <c r="K299" s="1">
        <v>0</v>
      </c>
      <c r="L299" s="1">
        <v>0</v>
      </c>
      <c r="M299" s="6" t="s">
        <v>2784</v>
      </c>
      <c r="N299" s="1">
        <v>1</v>
      </c>
      <c r="O299" s="1">
        <v>1</v>
      </c>
      <c r="P299" t="s">
        <v>2778</v>
      </c>
      <c r="Q2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299" s="1" t="s">
        <v>2779</v>
      </c>
    </row>
    <row r="300" spans="1:18" x14ac:dyDescent="0.25">
      <c r="A300" t="s">
        <v>1088</v>
      </c>
      <c r="B300" t="s">
        <v>1089</v>
      </c>
      <c r="C300" s="1">
        <v>120</v>
      </c>
      <c r="I300" s="1">
        <v>0</v>
      </c>
      <c r="J300" s="1">
        <v>0</v>
      </c>
      <c r="K300" s="1">
        <v>0</v>
      </c>
      <c r="L300" s="1">
        <v>0</v>
      </c>
      <c r="M300" s="6" t="s">
        <v>2784</v>
      </c>
      <c r="N300" s="1">
        <v>4</v>
      </c>
      <c r="O300" s="1">
        <v>4</v>
      </c>
      <c r="P300" t="s">
        <v>2778</v>
      </c>
      <c r="Q30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00" s="1" t="s">
        <v>2779</v>
      </c>
    </row>
    <row r="301" spans="1:18" x14ac:dyDescent="0.25">
      <c r="A301" t="s">
        <v>1156</v>
      </c>
      <c r="B301" t="s">
        <v>1157</v>
      </c>
      <c r="C301" s="1">
        <v>407</v>
      </c>
      <c r="I301" s="1">
        <v>0</v>
      </c>
      <c r="J301" s="1">
        <v>0</v>
      </c>
      <c r="K301" s="1">
        <v>147</v>
      </c>
      <c r="L301" s="1">
        <v>147</v>
      </c>
      <c r="M301" s="6">
        <f>(Table2[[#This Row],[Grand Total of Lead Service Lines Replaced]]/(Table2[[#This Row],[Total to be identified or replaced]]+Table2[[#This Row],[Grand Total of Lead Service Lines Replaced]]))</f>
        <v>0</v>
      </c>
      <c r="N301" s="1">
        <v>88</v>
      </c>
      <c r="O301" s="1">
        <v>235</v>
      </c>
      <c r="P301" t="s">
        <v>2778</v>
      </c>
      <c r="Q30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01" s="1" t="s">
        <v>2783</v>
      </c>
    </row>
    <row r="302" spans="1:18" x14ac:dyDescent="0.25">
      <c r="A302" t="s">
        <v>1094</v>
      </c>
      <c r="B302" t="s">
        <v>1095</v>
      </c>
      <c r="C302" s="1">
        <v>260</v>
      </c>
      <c r="I302" s="1">
        <v>0</v>
      </c>
      <c r="J302" s="1">
        <v>0</v>
      </c>
      <c r="K302" s="1">
        <v>0</v>
      </c>
      <c r="L302" s="1">
        <v>0</v>
      </c>
      <c r="M302" s="6" t="s">
        <v>2784</v>
      </c>
      <c r="N302" s="1">
        <v>104</v>
      </c>
      <c r="O302" s="1">
        <v>104</v>
      </c>
      <c r="P302" t="s">
        <v>2778</v>
      </c>
      <c r="Q30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02" s="1" t="s">
        <v>2779</v>
      </c>
    </row>
    <row r="303" spans="1:18" x14ac:dyDescent="0.25">
      <c r="A303" t="s">
        <v>927</v>
      </c>
      <c r="B303" t="s">
        <v>928</v>
      </c>
      <c r="C303" s="1">
        <v>1214</v>
      </c>
      <c r="I303" s="1">
        <v>0</v>
      </c>
      <c r="J303" s="1">
        <v>0</v>
      </c>
      <c r="K303" s="1">
        <v>269</v>
      </c>
      <c r="L303" s="1">
        <v>269</v>
      </c>
      <c r="M303" s="6">
        <f>(Table2[[#This Row],[Grand Total of Lead Service Lines Replaced]]/(Table2[[#This Row],[Total to be identified or replaced]]+Table2[[#This Row],[Grand Total of Lead Service Lines Replaced]]))</f>
        <v>0</v>
      </c>
      <c r="N303" s="1">
        <v>274</v>
      </c>
      <c r="O303" s="1">
        <v>543</v>
      </c>
      <c r="P303" t="s">
        <v>2778</v>
      </c>
      <c r="Q30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03" s="1" t="s">
        <v>2783</v>
      </c>
    </row>
    <row r="304" spans="1:18" x14ac:dyDescent="0.25">
      <c r="A304" t="s">
        <v>2153</v>
      </c>
      <c r="B304" t="s">
        <v>2154</v>
      </c>
      <c r="C304" s="1">
        <v>300</v>
      </c>
      <c r="I304" s="1">
        <v>0</v>
      </c>
      <c r="J304" s="1">
        <v>0</v>
      </c>
      <c r="K304" s="1">
        <v>27</v>
      </c>
      <c r="L304" s="1">
        <v>27</v>
      </c>
      <c r="M304" s="6">
        <f>(Table2[[#This Row],[Grand Total of Lead Service Lines Replaced]]/(Table2[[#This Row],[Total to be identified or replaced]]+Table2[[#This Row],[Grand Total of Lead Service Lines Replaced]]))</f>
        <v>0</v>
      </c>
      <c r="N304" s="1">
        <v>88</v>
      </c>
      <c r="O304" s="1">
        <v>115</v>
      </c>
      <c r="P304" t="s">
        <v>2778</v>
      </c>
      <c r="Q30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04" s="1" t="s">
        <v>2783</v>
      </c>
    </row>
    <row r="305" spans="1:18" x14ac:dyDescent="0.25">
      <c r="A305" t="s">
        <v>2121</v>
      </c>
      <c r="B305" t="s">
        <v>2122</v>
      </c>
      <c r="C305" s="1">
        <v>845</v>
      </c>
      <c r="I305" s="1">
        <v>0</v>
      </c>
      <c r="J305" s="1">
        <v>0</v>
      </c>
      <c r="K305" s="1">
        <v>29</v>
      </c>
      <c r="L305" s="1">
        <v>29</v>
      </c>
      <c r="M305" s="6">
        <f>(Table2[[#This Row],[Grand Total of Lead Service Lines Replaced]]/(Table2[[#This Row],[Total to be identified or replaced]]+Table2[[#This Row],[Grand Total of Lead Service Lines Replaced]]))</f>
        <v>0</v>
      </c>
      <c r="N305" s="1">
        <v>309</v>
      </c>
      <c r="O305" s="1">
        <v>338</v>
      </c>
      <c r="P305" t="s">
        <v>2778</v>
      </c>
      <c r="Q30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05" s="1" t="s">
        <v>2783</v>
      </c>
    </row>
    <row r="306" spans="1:18" x14ac:dyDescent="0.25">
      <c r="A306" t="s">
        <v>1100</v>
      </c>
      <c r="B306" t="s">
        <v>1101</v>
      </c>
      <c r="C306" s="1">
        <v>50</v>
      </c>
      <c r="I306" s="1">
        <v>0</v>
      </c>
      <c r="J306" s="1">
        <v>0</v>
      </c>
      <c r="K306" s="1">
        <v>0</v>
      </c>
      <c r="L306" s="1">
        <v>0</v>
      </c>
      <c r="M306" s="6" t="s">
        <v>2784</v>
      </c>
      <c r="N306" s="1">
        <v>32</v>
      </c>
      <c r="O306" s="1">
        <v>32</v>
      </c>
      <c r="P306" t="s">
        <v>2778</v>
      </c>
      <c r="Q30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06" s="1" t="s">
        <v>2779</v>
      </c>
    </row>
    <row r="307" spans="1:18" x14ac:dyDescent="0.25">
      <c r="A307" t="s">
        <v>1104</v>
      </c>
      <c r="B307" t="s">
        <v>1105</v>
      </c>
      <c r="C307" s="1">
        <v>700</v>
      </c>
      <c r="I307" s="1">
        <v>0</v>
      </c>
      <c r="J307" s="1">
        <v>0</v>
      </c>
      <c r="K307" s="1">
        <v>0</v>
      </c>
      <c r="L307" s="1">
        <v>0</v>
      </c>
      <c r="M307" s="6" t="s">
        <v>2784</v>
      </c>
      <c r="N307" s="1">
        <v>298</v>
      </c>
      <c r="O307" s="1">
        <v>298</v>
      </c>
      <c r="P307" t="s">
        <v>2778</v>
      </c>
      <c r="Q30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07" s="1" t="s">
        <v>2779</v>
      </c>
    </row>
    <row r="308" spans="1:18" x14ac:dyDescent="0.25">
      <c r="A308" t="s">
        <v>1106</v>
      </c>
      <c r="B308" t="s">
        <v>1107</v>
      </c>
      <c r="C308" s="1">
        <v>80</v>
      </c>
      <c r="I308" s="1">
        <v>0</v>
      </c>
      <c r="J308" s="1">
        <v>0</v>
      </c>
      <c r="K308" s="1">
        <v>0</v>
      </c>
      <c r="L308" s="1">
        <v>0</v>
      </c>
      <c r="M308" s="6" t="s">
        <v>2784</v>
      </c>
      <c r="N308" s="1">
        <v>40</v>
      </c>
      <c r="O308" s="1">
        <v>40</v>
      </c>
      <c r="P308" t="s">
        <v>2778</v>
      </c>
      <c r="Q30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08" s="1" t="s">
        <v>2779</v>
      </c>
    </row>
    <row r="309" spans="1:18" x14ac:dyDescent="0.25">
      <c r="A309" t="s">
        <v>1110</v>
      </c>
      <c r="B309" t="s">
        <v>1111</v>
      </c>
      <c r="C309" s="1">
        <v>76</v>
      </c>
      <c r="I309" s="1">
        <v>0</v>
      </c>
      <c r="J309" s="1">
        <v>0</v>
      </c>
      <c r="K309" s="1">
        <v>0</v>
      </c>
      <c r="L309" s="1">
        <v>0</v>
      </c>
      <c r="M309" s="6" t="s">
        <v>2784</v>
      </c>
      <c r="N309" s="1">
        <v>1</v>
      </c>
      <c r="O309" s="1">
        <v>1</v>
      </c>
      <c r="P309" t="s">
        <v>2778</v>
      </c>
      <c r="Q30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09" s="1" t="s">
        <v>2779</v>
      </c>
    </row>
    <row r="310" spans="1:18" x14ac:dyDescent="0.25">
      <c r="A310" t="s">
        <v>1114</v>
      </c>
      <c r="B310" t="s">
        <v>1115</v>
      </c>
      <c r="C310" s="1">
        <v>125</v>
      </c>
      <c r="I310" s="1">
        <v>0</v>
      </c>
      <c r="J310" s="1">
        <v>0</v>
      </c>
      <c r="K310" s="1">
        <v>0</v>
      </c>
      <c r="L310" s="1">
        <v>0</v>
      </c>
      <c r="M310" s="6" t="s">
        <v>2784</v>
      </c>
      <c r="N310" s="1">
        <v>69</v>
      </c>
      <c r="O310" s="1">
        <v>69</v>
      </c>
      <c r="P310" t="s">
        <v>2778</v>
      </c>
      <c r="Q31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10" s="1" t="s">
        <v>2779</v>
      </c>
    </row>
    <row r="311" spans="1:18" x14ac:dyDescent="0.25">
      <c r="A311" t="s">
        <v>1116</v>
      </c>
      <c r="B311" t="s">
        <v>1117</v>
      </c>
      <c r="C311" s="1">
        <v>5000</v>
      </c>
      <c r="I311" s="1">
        <v>0</v>
      </c>
      <c r="J311" s="1">
        <v>0</v>
      </c>
      <c r="K311" s="1">
        <v>0</v>
      </c>
      <c r="L311" s="1">
        <v>0</v>
      </c>
      <c r="M311" s="6" t="s">
        <v>2784</v>
      </c>
      <c r="N311" s="1">
        <v>1738</v>
      </c>
      <c r="O311" s="1">
        <v>1738</v>
      </c>
      <c r="P311" t="s">
        <v>2778</v>
      </c>
      <c r="Q31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11" s="1" t="s">
        <v>2779</v>
      </c>
    </row>
    <row r="312" spans="1:18" x14ac:dyDescent="0.25">
      <c r="A312" t="s">
        <v>1746</v>
      </c>
      <c r="B312" t="s">
        <v>1747</v>
      </c>
      <c r="C312" s="1">
        <v>350</v>
      </c>
      <c r="I312" s="1">
        <v>15</v>
      </c>
      <c r="J312" s="1">
        <v>45</v>
      </c>
      <c r="K312" s="1">
        <v>3</v>
      </c>
      <c r="L312" s="1">
        <v>63</v>
      </c>
      <c r="M312" s="6">
        <f>(Table2[[#This Row],[Grand Total of Lead Service Lines Replaced]]/(Table2[[#This Row],[Total to be identified or replaced]]+Table2[[#This Row],[Grand Total of Lead Service Lines Replaced]]))</f>
        <v>0</v>
      </c>
      <c r="N312" s="1">
        <v>76</v>
      </c>
      <c r="O312" s="1">
        <v>142</v>
      </c>
      <c r="P312" t="s">
        <v>2778</v>
      </c>
      <c r="Q31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12" s="1" t="s">
        <v>2783</v>
      </c>
    </row>
    <row r="313" spans="1:18" x14ac:dyDescent="0.25">
      <c r="A313" t="s">
        <v>505</v>
      </c>
      <c r="B313" t="s">
        <v>506</v>
      </c>
      <c r="C313" s="1">
        <v>14817</v>
      </c>
      <c r="I313" s="1">
        <v>0</v>
      </c>
      <c r="J313" s="1">
        <v>0</v>
      </c>
      <c r="K313" s="1">
        <v>0</v>
      </c>
      <c r="L313" s="1">
        <v>0</v>
      </c>
      <c r="M313" s="6" t="s">
        <v>2784</v>
      </c>
      <c r="N313" s="1">
        <v>2858</v>
      </c>
      <c r="O313" s="1">
        <v>2858</v>
      </c>
      <c r="P313">
        <v>2020</v>
      </c>
      <c r="Q31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13" s="1" t="s">
        <v>2779</v>
      </c>
    </row>
    <row r="314" spans="1:18" x14ac:dyDescent="0.25">
      <c r="A314" t="s">
        <v>1558</v>
      </c>
      <c r="B314" t="s">
        <v>1559</v>
      </c>
      <c r="C314" s="1">
        <v>3289</v>
      </c>
      <c r="I314" s="1">
        <v>0</v>
      </c>
      <c r="J314" s="1">
        <v>0</v>
      </c>
      <c r="K314" s="1">
        <v>86</v>
      </c>
      <c r="L314" s="1">
        <v>86</v>
      </c>
      <c r="M314" s="6">
        <f>(Table2[[#This Row],[Grand Total of Lead Service Lines Replaced]]/(Table2[[#This Row],[Total to be identified or replaced]]+Table2[[#This Row],[Grand Total of Lead Service Lines Replaced]]))</f>
        <v>0</v>
      </c>
      <c r="N314" s="1">
        <v>997</v>
      </c>
      <c r="O314" s="1">
        <v>1083</v>
      </c>
      <c r="P314" t="s">
        <v>2778</v>
      </c>
      <c r="Q31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14" s="1" t="s">
        <v>2783</v>
      </c>
    </row>
    <row r="315" spans="1:18" x14ac:dyDescent="0.25">
      <c r="A315" t="s">
        <v>1124</v>
      </c>
      <c r="B315" t="s">
        <v>1125</v>
      </c>
      <c r="C315" s="1">
        <v>830</v>
      </c>
      <c r="I315" s="1">
        <v>0</v>
      </c>
      <c r="J315" s="1">
        <v>0</v>
      </c>
      <c r="K315" s="1">
        <v>0</v>
      </c>
      <c r="L315" s="1">
        <v>0</v>
      </c>
      <c r="M315" s="6" t="s">
        <v>2784</v>
      </c>
      <c r="N315" s="1">
        <v>408</v>
      </c>
      <c r="O315" s="1">
        <v>408</v>
      </c>
      <c r="P315" t="s">
        <v>2778</v>
      </c>
      <c r="Q3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15" s="1" t="s">
        <v>2779</v>
      </c>
    </row>
    <row r="316" spans="1:18" x14ac:dyDescent="0.25">
      <c r="A316" t="s">
        <v>1126</v>
      </c>
      <c r="B316" t="s">
        <v>1127</v>
      </c>
      <c r="C316" s="1">
        <v>65</v>
      </c>
      <c r="I316" s="1">
        <v>0</v>
      </c>
      <c r="J316" s="1">
        <v>0</v>
      </c>
      <c r="K316" s="1">
        <v>0</v>
      </c>
      <c r="L316" s="1">
        <v>0</v>
      </c>
      <c r="M316" s="6" t="s">
        <v>2784</v>
      </c>
      <c r="N316" s="1">
        <v>13</v>
      </c>
      <c r="O316" s="1">
        <v>13</v>
      </c>
      <c r="P316" t="s">
        <v>2778</v>
      </c>
      <c r="Q31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16" s="1" t="s">
        <v>2779</v>
      </c>
    </row>
    <row r="317" spans="1:18" x14ac:dyDescent="0.25">
      <c r="A317" t="s">
        <v>1130</v>
      </c>
      <c r="B317" t="s">
        <v>1131</v>
      </c>
      <c r="C317" s="1">
        <v>30</v>
      </c>
      <c r="I317" s="1">
        <v>0</v>
      </c>
      <c r="J317" s="1">
        <v>0</v>
      </c>
      <c r="K317" s="1">
        <v>0</v>
      </c>
      <c r="L317" s="1">
        <v>0</v>
      </c>
      <c r="M317" s="6" t="s">
        <v>2784</v>
      </c>
      <c r="N317" s="1">
        <v>5</v>
      </c>
      <c r="O317" s="1">
        <v>5</v>
      </c>
      <c r="P317" t="s">
        <v>2778</v>
      </c>
      <c r="Q31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17" s="1" t="s">
        <v>2779</v>
      </c>
    </row>
    <row r="318" spans="1:18" x14ac:dyDescent="0.25">
      <c r="A318" t="s">
        <v>701</v>
      </c>
      <c r="B318" t="s">
        <v>702</v>
      </c>
      <c r="C318" s="1">
        <v>3750</v>
      </c>
      <c r="I318" s="1">
        <v>0</v>
      </c>
      <c r="J318" s="1">
        <v>0</v>
      </c>
      <c r="K318" s="1">
        <v>551</v>
      </c>
      <c r="L318" s="1">
        <v>551</v>
      </c>
      <c r="M318" s="6">
        <f>(Table2[[#This Row],[Grand Total of Lead Service Lines Replaced]]/(Table2[[#This Row],[Total to be identified or replaced]]+Table2[[#This Row],[Grand Total of Lead Service Lines Replaced]]))</f>
        <v>0</v>
      </c>
      <c r="N318" s="1">
        <v>1024</v>
      </c>
      <c r="O318" s="1">
        <v>1575</v>
      </c>
      <c r="P318" t="s">
        <v>2778</v>
      </c>
      <c r="Q31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18" s="1" t="s">
        <v>2783</v>
      </c>
    </row>
    <row r="319" spans="1:18" x14ac:dyDescent="0.25">
      <c r="A319" t="s">
        <v>1134</v>
      </c>
      <c r="B319" t="s">
        <v>1135</v>
      </c>
      <c r="C319" s="1">
        <v>308</v>
      </c>
      <c r="I319" s="1">
        <v>0</v>
      </c>
      <c r="J319" s="1">
        <v>0</v>
      </c>
      <c r="K319" s="1">
        <v>0</v>
      </c>
      <c r="L319" s="1">
        <v>0</v>
      </c>
      <c r="M319" s="6" t="s">
        <v>2784</v>
      </c>
      <c r="N319" s="1">
        <v>123</v>
      </c>
      <c r="O319" s="1">
        <v>123</v>
      </c>
      <c r="P319" t="s">
        <v>2778</v>
      </c>
      <c r="Q31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19" s="1" t="s">
        <v>2779</v>
      </c>
    </row>
    <row r="320" spans="1:18" x14ac:dyDescent="0.25">
      <c r="A320" t="s">
        <v>1136</v>
      </c>
      <c r="B320" t="s">
        <v>1137</v>
      </c>
      <c r="C320" s="1">
        <v>72</v>
      </c>
      <c r="I320" s="1">
        <v>0</v>
      </c>
      <c r="J320" s="1">
        <v>0</v>
      </c>
      <c r="K320" s="1">
        <v>0</v>
      </c>
      <c r="L320" s="1">
        <v>0</v>
      </c>
      <c r="M320" s="6" t="s">
        <v>2784</v>
      </c>
      <c r="N320" s="1">
        <v>8</v>
      </c>
      <c r="O320" s="1">
        <v>8</v>
      </c>
      <c r="P320" t="s">
        <v>2778</v>
      </c>
      <c r="Q32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20" s="1" t="s">
        <v>2779</v>
      </c>
    </row>
    <row r="321" spans="1:18" x14ac:dyDescent="0.25">
      <c r="A321" t="s">
        <v>1468</v>
      </c>
      <c r="B321" t="s">
        <v>1469</v>
      </c>
      <c r="C321" s="1">
        <v>126</v>
      </c>
      <c r="I321" s="1">
        <v>0</v>
      </c>
      <c r="J321" s="1">
        <v>0</v>
      </c>
      <c r="K321" s="1">
        <v>45</v>
      </c>
      <c r="L321" s="1">
        <v>45</v>
      </c>
      <c r="M321" s="6">
        <f>(Table2[[#This Row],[Grand Total of Lead Service Lines Replaced]]/(Table2[[#This Row],[Total to be identified or replaced]]+Table2[[#This Row],[Grand Total of Lead Service Lines Replaced]]))</f>
        <v>0</v>
      </c>
      <c r="N321" s="1">
        <v>44</v>
      </c>
      <c r="O321" s="1">
        <v>89</v>
      </c>
      <c r="P321">
        <v>2025</v>
      </c>
      <c r="Q32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21" s="1" t="s">
        <v>2783</v>
      </c>
    </row>
    <row r="322" spans="1:18" x14ac:dyDescent="0.25">
      <c r="A322" t="s">
        <v>1140</v>
      </c>
      <c r="B322" t="s">
        <v>1141</v>
      </c>
      <c r="C322" s="1">
        <v>325</v>
      </c>
      <c r="J322" s="1">
        <v>0</v>
      </c>
      <c r="K322" s="1">
        <v>0</v>
      </c>
      <c r="L322" s="1">
        <v>0</v>
      </c>
      <c r="M322" s="6" t="s">
        <v>2784</v>
      </c>
      <c r="N322" s="1">
        <v>290</v>
      </c>
      <c r="O322" s="1">
        <v>290</v>
      </c>
      <c r="P322" t="s">
        <v>2778</v>
      </c>
      <c r="Q32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22" s="1" t="s">
        <v>2779</v>
      </c>
    </row>
    <row r="323" spans="1:18" x14ac:dyDescent="0.25">
      <c r="A323" t="s">
        <v>2442</v>
      </c>
      <c r="B323" t="s">
        <v>2443</v>
      </c>
      <c r="C323" s="1">
        <v>125</v>
      </c>
      <c r="I323" s="1">
        <v>0</v>
      </c>
      <c r="J323" s="1">
        <v>0</v>
      </c>
      <c r="K323" s="1">
        <v>7</v>
      </c>
      <c r="L323" s="1">
        <v>7</v>
      </c>
      <c r="M323" s="6">
        <f>(Table2[[#This Row],[Grand Total of Lead Service Lines Replaced]]/(Table2[[#This Row],[Total to be identified or replaced]]+Table2[[#This Row],[Grand Total of Lead Service Lines Replaced]]))</f>
        <v>0</v>
      </c>
      <c r="N323" s="1">
        <v>51</v>
      </c>
      <c r="O323" s="1">
        <v>58</v>
      </c>
      <c r="P323" t="s">
        <v>2778</v>
      </c>
      <c r="Q32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23" s="1" t="s">
        <v>2783</v>
      </c>
    </row>
    <row r="324" spans="1:18" x14ac:dyDescent="0.25">
      <c r="A324" t="s">
        <v>1144</v>
      </c>
      <c r="B324" t="s">
        <v>1145</v>
      </c>
      <c r="C324" s="1">
        <v>6000</v>
      </c>
      <c r="I324" s="1">
        <v>0</v>
      </c>
      <c r="J324" s="1">
        <v>0</v>
      </c>
      <c r="K324" s="1">
        <v>0</v>
      </c>
      <c r="L324" s="1">
        <v>0</v>
      </c>
      <c r="M324" s="6" t="s">
        <v>2784</v>
      </c>
      <c r="N324" s="1">
        <v>47</v>
      </c>
      <c r="O324" s="1">
        <v>47</v>
      </c>
      <c r="P324" t="s">
        <v>2778</v>
      </c>
      <c r="Q32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24" s="1" t="s">
        <v>2779</v>
      </c>
    </row>
    <row r="325" spans="1:18" x14ac:dyDescent="0.25">
      <c r="A325" t="s">
        <v>1182</v>
      </c>
      <c r="B325" t="s">
        <v>1183</v>
      </c>
      <c r="C325" s="1">
        <v>1343</v>
      </c>
      <c r="I325" s="1">
        <v>0</v>
      </c>
      <c r="J325" s="1">
        <v>0</v>
      </c>
      <c r="K325" s="1">
        <v>143</v>
      </c>
      <c r="L325" s="1">
        <v>143</v>
      </c>
      <c r="M325" s="6">
        <f>(Table2[[#This Row],[Grand Total of Lead Service Lines Replaced]]/(Table2[[#This Row],[Total to be identified or replaced]]+Table2[[#This Row],[Grand Total of Lead Service Lines Replaced]]))</f>
        <v>0</v>
      </c>
      <c r="N325" s="1">
        <v>343</v>
      </c>
      <c r="O325" s="1">
        <v>486</v>
      </c>
      <c r="P325" t="s">
        <v>2778</v>
      </c>
      <c r="Q32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25" s="1" t="s">
        <v>2783</v>
      </c>
    </row>
    <row r="326" spans="1:18" x14ac:dyDescent="0.25">
      <c r="A326" t="s">
        <v>1146</v>
      </c>
      <c r="B326" t="s">
        <v>1147</v>
      </c>
      <c r="C326" s="1">
        <v>177</v>
      </c>
      <c r="I326" s="1">
        <v>0</v>
      </c>
      <c r="J326" s="1">
        <v>0</v>
      </c>
      <c r="K326" s="1">
        <v>0</v>
      </c>
      <c r="L326" s="1">
        <v>0</v>
      </c>
      <c r="M326" s="6" t="s">
        <v>2784</v>
      </c>
      <c r="N326" s="1">
        <v>108</v>
      </c>
      <c r="O326" s="1">
        <v>108</v>
      </c>
      <c r="P326" t="s">
        <v>2778</v>
      </c>
      <c r="Q32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26" s="1" t="s">
        <v>2779</v>
      </c>
    </row>
    <row r="327" spans="1:18" x14ac:dyDescent="0.25">
      <c r="A327" t="s">
        <v>1148</v>
      </c>
      <c r="B327" t="s">
        <v>1149</v>
      </c>
      <c r="C327" s="1">
        <v>190</v>
      </c>
      <c r="I327" s="1">
        <v>0</v>
      </c>
      <c r="J327" s="1">
        <v>0</v>
      </c>
      <c r="K327" s="1">
        <v>0</v>
      </c>
      <c r="L327" s="1">
        <v>0</v>
      </c>
      <c r="M327" s="6" t="s">
        <v>2784</v>
      </c>
      <c r="N327" s="1">
        <v>76</v>
      </c>
      <c r="O327" s="1">
        <v>76</v>
      </c>
      <c r="P327" t="s">
        <v>2778</v>
      </c>
      <c r="Q32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27" s="1" t="s">
        <v>2779</v>
      </c>
    </row>
    <row r="328" spans="1:18" x14ac:dyDescent="0.25">
      <c r="A328" t="s">
        <v>1150</v>
      </c>
      <c r="B328" t="s">
        <v>1151</v>
      </c>
      <c r="C328" s="1">
        <v>350</v>
      </c>
      <c r="I328" s="1">
        <v>0</v>
      </c>
      <c r="J328" s="1">
        <v>0</v>
      </c>
      <c r="K328" s="1">
        <v>0</v>
      </c>
      <c r="L328" s="1">
        <v>0</v>
      </c>
      <c r="M328" s="6" t="s">
        <v>2784</v>
      </c>
      <c r="N328" s="1">
        <v>232</v>
      </c>
      <c r="O328" s="1">
        <v>232</v>
      </c>
      <c r="P328" t="s">
        <v>2778</v>
      </c>
      <c r="Q32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28" s="1" t="s">
        <v>2779</v>
      </c>
    </row>
    <row r="329" spans="1:18" x14ac:dyDescent="0.25">
      <c r="A329" t="s">
        <v>865</v>
      </c>
      <c r="B329" t="s">
        <v>866</v>
      </c>
      <c r="C329" s="1">
        <v>3118</v>
      </c>
      <c r="D329" s="1">
        <v>60</v>
      </c>
      <c r="F329" s="1">
        <v>7</v>
      </c>
      <c r="H329" s="1">
        <v>67</v>
      </c>
      <c r="I329" s="1">
        <v>0</v>
      </c>
      <c r="J329" s="1">
        <v>0</v>
      </c>
      <c r="K329" s="1">
        <v>0</v>
      </c>
      <c r="L329" s="1">
        <v>0</v>
      </c>
      <c r="M329" s="6">
        <f>(Table2[[#This Row],[Grand Total of Lead Service Lines Replaced]]/(Table2[[#This Row],[Total to be identified or replaced]]+Table2[[#This Row],[Grand Total of Lead Service Lines Replaced]]))</f>
        <v>1</v>
      </c>
      <c r="N329" s="1">
        <v>1071</v>
      </c>
      <c r="O329" s="1">
        <v>1071</v>
      </c>
      <c r="P329">
        <v>2020</v>
      </c>
      <c r="Q329" t="s">
        <v>2785</v>
      </c>
      <c r="R329" s="7" t="s">
        <v>2786</v>
      </c>
    </row>
    <row r="330" spans="1:18" x14ac:dyDescent="0.25">
      <c r="A330" t="s">
        <v>1152</v>
      </c>
      <c r="B330" t="s">
        <v>1153</v>
      </c>
      <c r="C330" s="1">
        <v>50</v>
      </c>
      <c r="I330" s="1">
        <v>0</v>
      </c>
      <c r="J330" s="1">
        <v>0</v>
      </c>
      <c r="K330" s="1">
        <v>0</v>
      </c>
      <c r="L330" s="1">
        <v>0</v>
      </c>
      <c r="M330" s="6" t="s">
        <v>2784</v>
      </c>
      <c r="N330" s="1">
        <v>2</v>
      </c>
      <c r="O330" s="1">
        <v>2</v>
      </c>
      <c r="P330" t="s">
        <v>2778</v>
      </c>
      <c r="Q3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30" s="1" t="s">
        <v>2779</v>
      </c>
    </row>
    <row r="331" spans="1:18" x14ac:dyDescent="0.25">
      <c r="A331" t="s">
        <v>1794</v>
      </c>
      <c r="B331" t="s">
        <v>1795</v>
      </c>
      <c r="C331" s="1">
        <v>176</v>
      </c>
      <c r="I331" s="1">
        <v>0</v>
      </c>
      <c r="J331" s="1">
        <v>0</v>
      </c>
      <c r="K331" s="1">
        <v>60</v>
      </c>
      <c r="L331" s="1">
        <v>60</v>
      </c>
      <c r="M331" s="6">
        <f>(Table2[[#This Row],[Grand Total of Lead Service Lines Replaced]]/(Table2[[#This Row],[Total to be identified or replaced]]+Table2[[#This Row],[Grand Total of Lead Service Lines Replaced]]))</f>
        <v>0</v>
      </c>
      <c r="N331" s="1">
        <v>32</v>
      </c>
      <c r="O331" s="1">
        <v>92</v>
      </c>
      <c r="P331" t="s">
        <v>2778</v>
      </c>
      <c r="Q33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31" s="1" t="s">
        <v>2783</v>
      </c>
    </row>
    <row r="332" spans="1:18" x14ac:dyDescent="0.25">
      <c r="A332" t="s">
        <v>1154</v>
      </c>
      <c r="B332" t="s">
        <v>1155</v>
      </c>
      <c r="C332" s="1">
        <v>188</v>
      </c>
      <c r="L332" s="1">
        <v>0</v>
      </c>
      <c r="M332" s="6" t="s">
        <v>2784</v>
      </c>
      <c r="N332" s="1">
        <v>75</v>
      </c>
      <c r="O332" s="1">
        <v>75</v>
      </c>
      <c r="P332" t="s">
        <v>2778</v>
      </c>
      <c r="Q3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32" s="1" t="s">
        <v>2779</v>
      </c>
    </row>
    <row r="333" spans="1:18" x14ac:dyDescent="0.25">
      <c r="A333" t="s">
        <v>1790</v>
      </c>
      <c r="B333" t="s">
        <v>1791</v>
      </c>
      <c r="C333" s="1">
        <v>40</v>
      </c>
      <c r="I333" s="1">
        <v>0</v>
      </c>
      <c r="J333" s="1">
        <v>0</v>
      </c>
      <c r="K333" s="1">
        <v>60</v>
      </c>
      <c r="L333" s="1">
        <v>60</v>
      </c>
      <c r="M333" s="6">
        <f>(Table2[[#This Row],[Grand Total of Lead Service Lines Replaced]]/(Table2[[#This Row],[Total to be identified or replaced]]+Table2[[#This Row],[Grand Total of Lead Service Lines Replaced]]))</f>
        <v>0</v>
      </c>
      <c r="N333" s="1">
        <v>0</v>
      </c>
      <c r="O333" s="1">
        <v>60</v>
      </c>
      <c r="P333" t="s">
        <v>2778</v>
      </c>
      <c r="Q33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33" s="1" t="s">
        <v>2783</v>
      </c>
    </row>
    <row r="334" spans="1:18" x14ac:dyDescent="0.25">
      <c r="A334" t="s">
        <v>1158</v>
      </c>
      <c r="B334" t="s">
        <v>1159</v>
      </c>
      <c r="C334" s="1">
        <v>65</v>
      </c>
      <c r="I334" s="1">
        <v>0</v>
      </c>
      <c r="J334" s="1">
        <v>0</v>
      </c>
      <c r="K334" s="1">
        <v>0</v>
      </c>
      <c r="L334" s="1">
        <v>0</v>
      </c>
      <c r="M334" s="6" t="s">
        <v>2784</v>
      </c>
      <c r="N334" s="1">
        <v>22</v>
      </c>
      <c r="O334" s="1">
        <v>22</v>
      </c>
      <c r="P334" t="s">
        <v>2778</v>
      </c>
      <c r="Q33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34" s="1" t="s">
        <v>2779</v>
      </c>
    </row>
    <row r="335" spans="1:18" x14ac:dyDescent="0.25">
      <c r="A335" t="s">
        <v>1160</v>
      </c>
      <c r="B335" t="s">
        <v>1161</v>
      </c>
      <c r="C335" s="1">
        <v>81</v>
      </c>
      <c r="I335" s="1">
        <v>0</v>
      </c>
      <c r="J335" s="1">
        <v>0</v>
      </c>
      <c r="K335" s="1">
        <v>0</v>
      </c>
      <c r="L335" s="1">
        <v>0</v>
      </c>
      <c r="M335" s="6" t="s">
        <v>2784</v>
      </c>
      <c r="N335" s="1">
        <v>29</v>
      </c>
      <c r="O335" s="1">
        <v>29</v>
      </c>
      <c r="P335" t="s">
        <v>2778</v>
      </c>
      <c r="Q33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35" s="1" t="s">
        <v>2779</v>
      </c>
    </row>
    <row r="336" spans="1:18" x14ac:dyDescent="0.25">
      <c r="A336" t="s">
        <v>2553</v>
      </c>
      <c r="B336" t="s">
        <v>2554</v>
      </c>
      <c r="C336" s="1">
        <v>621</v>
      </c>
      <c r="K336" s="1">
        <v>2</v>
      </c>
      <c r="L336" s="1">
        <v>2</v>
      </c>
      <c r="M336" s="6">
        <f>(Table2[[#This Row],[Grand Total of Lead Service Lines Replaced]]/(Table2[[#This Row],[Total to be identified or replaced]]+Table2[[#This Row],[Grand Total of Lead Service Lines Replaced]]))</f>
        <v>0</v>
      </c>
      <c r="N336" s="1">
        <v>207</v>
      </c>
      <c r="O336" s="1">
        <v>209</v>
      </c>
      <c r="P336" t="s">
        <v>2778</v>
      </c>
      <c r="Q33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36" s="1" t="s">
        <v>2783</v>
      </c>
    </row>
    <row r="337" spans="1:18" x14ac:dyDescent="0.25">
      <c r="A337" t="s">
        <v>35</v>
      </c>
      <c r="B337" t="s">
        <v>36</v>
      </c>
      <c r="I337" s="1">
        <v>0</v>
      </c>
      <c r="J337" s="1">
        <v>0</v>
      </c>
      <c r="K337" s="1">
        <v>0</v>
      </c>
      <c r="L337" s="1">
        <v>0</v>
      </c>
      <c r="M337" s="6" t="s">
        <v>2784</v>
      </c>
      <c r="N337" s="1">
        <v>0</v>
      </c>
      <c r="O337" s="1">
        <v>0</v>
      </c>
      <c r="P337" t="s">
        <v>2778</v>
      </c>
      <c r="Q337" t="s">
        <v>2788</v>
      </c>
      <c r="R337" t="s">
        <v>2788</v>
      </c>
    </row>
    <row r="338" spans="1:18" x14ac:dyDescent="0.25">
      <c r="A338" t="s">
        <v>1164</v>
      </c>
      <c r="B338" t="s">
        <v>1165</v>
      </c>
      <c r="C338" s="1">
        <v>68</v>
      </c>
      <c r="I338" s="1">
        <v>0</v>
      </c>
      <c r="J338" s="1">
        <v>0</v>
      </c>
      <c r="K338" s="1">
        <v>0</v>
      </c>
      <c r="L338" s="1">
        <v>0</v>
      </c>
      <c r="M338" s="6" t="s">
        <v>2784</v>
      </c>
      <c r="N338" s="1">
        <v>24</v>
      </c>
      <c r="O338" s="1">
        <v>24</v>
      </c>
      <c r="P338" t="s">
        <v>2778</v>
      </c>
      <c r="Q33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38" s="1" t="s">
        <v>2779</v>
      </c>
    </row>
    <row r="339" spans="1:18" x14ac:dyDescent="0.25">
      <c r="A339" t="s">
        <v>1168</v>
      </c>
      <c r="B339" t="s">
        <v>1169</v>
      </c>
      <c r="C339" s="1">
        <v>300</v>
      </c>
      <c r="I339" s="1">
        <v>0</v>
      </c>
      <c r="J339" s="1">
        <v>0</v>
      </c>
      <c r="K339" s="1">
        <v>0</v>
      </c>
      <c r="L339" s="1">
        <v>0</v>
      </c>
      <c r="M339" s="6" t="s">
        <v>2784</v>
      </c>
      <c r="N339" s="1">
        <v>145</v>
      </c>
      <c r="O339" s="1">
        <v>145</v>
      </c>
      <c r="P339" t="s">
        <v>2778</v>
      </c>
      <c r="Q3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39" s="1" t="s">
        <v>2779</v>
      </c>
    </row>
    <row r="340" spans="1:18" x14ac:dyDescent="0.25">
      <c r="A340" t="s">
        <v>1222</v>
      </c>
      <c r="B340" t="s">
        <v>1223</v>
      </c>
      <c r="C340" s="1">
        <v>350</v>
      </c>
      <c r="I340" s="1">
        <v>0</v>
      </c>
      <c r="J340" s="1">
        <v>0</v>
      </c>
      <c r="K340" s="1">
        <v>0</v>
      </c>
      <c r="L340" s="1">
        <v>0</v>
      </c>
      <c r="M340" s="6" t="s">
        <v>2784</v>
      </c>
      <c r="O340" s="1">
        <v>0</v>
      </c>
      <c r="P340" t="s">
        <v>2778</v>
      </c>
      <c r="Q340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340" s="1" t="s">
        <v>2782</v>
      </c>
    </row>
    <row r="341" spans="1:18" x14ac:dyDescent="0.25">
      <c r="A341" t="s">
        <v>1174</v>
      </c>
      <c r="B341" t="s">
        <v>1175</v>
      </c>
      <c r="C341" s="1">
        <v>230</v>
      </c>
      <c r="I341" s="1">
        <v>0</v>
      </c>
      <c r="J341" s="1">
        <v>0</v>
      </c>
      <c r="K341" s="1">
        <v>0</v>
      </c>
      <c r="L341" s="1">
        <v>0</v>
      </c>
      <c r="M341" s="6" t="s">
        <v>2784</v>
      </c>
      <c r="N341" s="1">
        <v>92</v>
      </c>
      <c r="O341" s="1">
        <v>92</v>
      </c>
      <c r="P341" t="s">
        <v>2778</v>
      </c>
      <c r="Q3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41" s="1" t="s">
        <v>2779</v>
      </c>
    </row>
    <row r="342" spans="1:18" x14ac:dyDescent="0.25">
      <c r="A342" t="s">
        <v>1178</v>
      </c>
      <c r="B342" t="s">
        <v>1179</v>
      </c>
      <c r="C342" s="1">
        <v>90</v>
      </c>
      <c r="I342" s="1">
        <v>0</v>
      </c>
      <c r="J342" s="1">
        <v>0</v>
      </c>
      <c r="K342" s="1">
        <v>0</v>
      </c>
      <c r="L342" s="1">
        <v>0</v>
      </c>
      <c r="M342" s="6" t="s">
        <v>2784</v>
      </c>
      <c r="N342" s="1">
        <v>6</v>
      </c>
      <c r="O342" s="1">
        <v>6</v>
      </c>
      <c r="P342" t="s">
        <v>2778</v>
      </c>
      <c r="Q34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42" s="1" t="s">
        <v>2779</v>
      </c>
    </row>
    <row r="343" spans="1:18" x14ac:dyDescent="0.25">
      <c r="A343" t="s">
        <v>1180</v>
      </c>
      <c r="B343" t="s">
        <v>1181</v>
      </c>
      <c r="C343" s="1">
        <v>84</v>
      </c>
      <c r="I343" s="1">
        <v>0</v>
      </c>
      <c r="J343" s="1">
        <v>0</v>
      </c>
      <c r="K343" s="1">
        <v>0</v>
      </c>
      <c r="L343" s="1">
        <v>0</v>
      </c>
      <c r="M343" s="6" t="s">
        <v>2784</v>
      </c>
      <c r="N343" s="1">
        <v>7</v>
      </c>
      <c r="O343" s="1">
        <v>7</v>
      </c>
      <c r="P343" t="s">
        <v>2778</v>
      </c>
      <c r="Q3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43" s="1" t="s">
        <v>2779</v>
      </c>
    </row>
    <row r="344" spans="1:18" x14ac:dyDescent="0.25">
      <c r="A344" t="s">
        <v>1184</v>
      </c>
      <c r="B344" t="s">
        <v>1185</v>
      </c>
      <c r="C344" s="1">
        <v>174</v>
      </c>
      <c r="I344" s="1">
        <v>0</v>
      </c>
      <c r="J344" s="1">
        <v>0</v>
      </c>
      <c r="K344" s="1">
        <v>0</v>
      </c>
      <c r="L344" s="1">
        <v>0</v>
      </c>
      <c r="M344" s="6" t="s">
        <v>2784</v>
      </c>
      <c r="N344" s="1">
        <v>168</v>
      </c>
      <c r="O344" s="1">
        <v>168</v>
      </c>
      <c r="P344" t="s">
        <v>2778</v>
      </c>
      <c r="Q34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44" s="1" t="s">
        <v>2779</v>
      </c>
    </row>
    <row r="345" spans="1:18" x14ac:dyDescent="0.25">
      <c r="A345" t="s">
        <v>1186</v>
      </c>
      <c r="B345" t="s">
        <v>1187</v>
      </c>
      <c r="C345" s="1">
        <v>3720</v>
      </c>
      <c r="L345" s="1">
        <v>0</v>
      </c>
      <c r="M345" s="6" t="s">
        <v>2784</v>
      </c>
      <c r="N345" s="1">
        <v>1700</v>
      </c>
      <c r="O345" s="1">
        <v>1700</v>
      </c>
      <c r="P345" t="s">
        <v>2778</v>
      </c>
      <c r="Q3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45" s="1" t="s">
        <v>2779</v>
      </c>
    </row>
    <row r="346" spans="1:18" x14ac:dyDescent="0.25">
      <c r="A346" t="s">
        <v>1188</v>
      </c>
      <c r="B346" t="s">
        <v>1189</v>
      </c>
      <c r="C346" s="1">
        <v>155</v>
      </c>
      <c r="L346" s="1">
        <v>0</v>
      </c>
      <c r="M346" s="6" t="s">
        <v>2784</v>
      </c>
      <c r="N346" s="1">
        <v>20</v>
      </c>
      <c r="O346" s="1">
        <v>20</v>
      </c>
      <c r="P346" t="s">
        <v>2778</v>
      </c>
      <c r="Q34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46" s="1" t="s">
        <v>2779</v>
      </c>
    </row>
    <row r="347" spans="1:18" x14ac:dyDescent="0.25">
      <c r="A347" t="s">
        <v>1214</v>
      </c>
      <c r="B347" t="s">
        <v>1215</v>
      </c>
      <c r="C347" s="1">
        <v>488</v>
      </c>
      <c r="I347" s="1">
        <v>0</v>
      </c>
      <c r="J347" s="1">
        <v>68</v>
      </c>
      <c r="K347" s="1">
        <v>61</v>
      </c>
      <c r="L347" s="1">
        <v>129</v>
      </c>
      <c r="M347" s="6">
        <f>(Table2[[#This Row],[Grand Total of Lead Service Lines Replaced]]/(Table2[[#This Row],[Total to be identified or replaced]]+Table2[[#This Row],[Grand Total of Lead Service Lines Replaced]]))</f>
        <v>0</v>
      </c>
      <c r="N347" s="1">
        <v>115</v>
      </c>
      <c r="O347" s="1">
        <v>244</v>
      </c>
      <c r="P347" t="s">
        <v>2778</v>
      </c>
      <c r="Q34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47" s="1" t="s">
        <v>2783</v>
      </c>
    </row>
    <row r="348" spans="1:18" x14ac:dyDescent="0.25">
      <c r="A348" t="s">
        <v>217</v>
      </c>
      <c r="B348" t="s">
        <v>218</v>
      </c>
      <c r="C348" s="1">
        <v>26780</v>
      </c>
      <c r="I348" s="1">
        <v>2</v>
      </c>
      <c r="J348" s="1">
        <v>18</v>
      </c>
      <c r="K348" s="1">
        <v>7864</v>
      </c>
      <c r="L348" s="1">
        <v>7884</v>
      </c>
      <c r="M348" s="6">
        <f>(Table2[[#This Row],[Grand Total of Lead Service Lines Replaced]]/(Table2[[#This Row],[Total to be identified or replaced]]+Table2[[#This Row],[Grand Total of Lead Service Lines Replaced]]))</f>
        <v>0</v>
      </c>
      <c r="N348" s="1">
        <v>5581</v>
      </c>
      <c r="O348" s="1">
        <v>13465</v>
      </c>
      <c r="P348" t="s">
        <v>2778</v>
      </c>
      <c r="Q34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48" s="1" t="s">
        <v>2783</v>
      </c>
    </row>
    <row r="349" spans="1:18" x14ac:dyDescent="0.25">
      <c r="A349" t="s">
        <v>1572</v>
      </c>
      <c r="B349" t="s">
        <v>1573</v>
      </c>
      <c r="C349" s="1">
        <v>48</v>
      </c>
      <c r="I349" s="1">
        <v>0</v>
      </c>
      <c r="J349" s="1">
        <v>0</v>
      </c>
      <c r="K349" s="1">
        <v>0</v>
      </c>
      <c r="L349" s="1">
        <v>0</v>
      </c>
      <c r="M349" s="6" t="s">
        <v>2784</v>
      </c>
      <c r="N349" s="1">
        <v>44</v>
      </c>
      <c r="P349" t="s">
        <v>2778</v>
      </c>
      <c r="Q349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349" s="1" t="s">
        <v>2782</v>
      </c>
    </row>
    <row r="350" spans="1:18" x14ac:dyDescent="0.25">
      <c r="A350" t="s">
        <v>2067</v>
      </c>
      <c r="B350" t="s">
        <v>2068</v>
      </c>
      <c r="C350" s="1">
        <v>117</v>
      </c>
      <c r="I350" s="1">
        <v>0</v>
      </c>
      <c r="J350" s="1">
        <v>0</v>
      </c>
      <c r="K350" s="1">
        <v>33</v>
      </c>
      <c r="L350" s="1">
        <v>33</v>
      </c>
      <c r="M350" s="6">
        <f>(Table2[[#This Row],[Grand Total of Lead Service Lines Replaced]]/(Table2[[#This Row],[Total to be identified or replaced]]+Table2[[#This Row],[Grand Total of Lead Service Lines Replaced]]))</f>
        <v>0</v>
      </c>
      <c r="N350" s="1">
        <v>61</v>
      </c>
      <c r="O350" s="1">
        <v>94</v>
      </c>
      <c r="P350" t="s">
        <v>2778</v>
      </c>
      <c r="Q35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50" s="1" t="s">
        <v>2783</v>
      </c>
    </row>
    <row r="351" spans="1:18" x14ac:dyDescent="0.25">
      <c r="A351" t="s">
        <v>1190</v>
      </c>
      <c r="B351" t="s">
        <v>1191</v>
      </c>
      <c r="C351" s="1">
        <v>2808</v>
      </c>
      <c r="I351" s="1">
        <v>0</v>
      </c>
      <c r="J351" s="1">
        <v>0</v>
      </c>
      <c r="L351" s="1">
        <v>0</v>
      </c>
      <c r="M351" s="6" t="s">
        <v>2784</v>
      </c>
      <c r="N351" s="1">
        <v>1395</v>
      </c>
      <c r="O351" s="1">
        <v>1395</v>
      </c>
      <c r="P351" t="s">
        <v>2778</v>
      </c>
      <c r="Q35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51" s="1" t="s">
        <v>2779</v>
      </c>
    </row>
    <row r="352" spans="1:18" x14ac:dyDescent="0.25">
      <c r="A352" t="s">
        <v>63</v>
      </c>
      <c r="B352" t="s">
        <v>64</v>
      </c>
      <c r="I352" s="1">
        <v>0</v>
      </c>
      <c r="J352" s="1">
        <v>0</v>
      </c>
      <c r="K352" s="1">
        <v>0</v>
      </c>
      <c r="L352" s="1">
        <v>0</v>
      </c>
      <c r="M352" s="6" t="s">
        <v>2784</v>
      </c>
      <c r="N352" s="1">
        <v>0</v>
      </c>
      <c r="O352" s="1">
        <v>0</v>
      </c>
      <c r="P352" t="s">
        <v>2778</v>
      </c>
      <c r="Q352" t="s">
        <v>2788</v>
      </c>
      <c r="R352" t="s">
        <v>2788</v>
      </c>
    </row>
    <row r="353" spans="1:18" x14ac:dyDescent="0.25">
      <c r="A353" t="s">
        <v>71</v>
      </c>
      <c r="B353" t="s">
        <v>72</v>
      </c>
      <c r="I353" s="1">
        <v>0</v>
      </c>
      <c r="J353" s="1">
        <v>0</v>
      </c>
      <c r="K353" s="1">
        <v>0</v>
      </c>
      <c r="L353" s="1">
        <v>0</v>
      </c>
      <c r="M353" s="6" t="s">
        <v>2784</v>
      </c>
      <c r="N353" s="1">
        <v>0</v>
      </c>
      <c r="O353" s="1">
        <v>0</v>
      </c>
      <c r="P353" t="s">
        <v>2778</v>
      </c>
      <c r="Q353" t="s">
        <v>2788</v>
      </c>
      <c r="R353" t="s">
        <v>2788</v>
      </c>
    </row>
    <row r="354" spans="1:18" x14ac:dyDescent="0.25">
      <c r="A354" t="s">
        <v>1196</v>
      </c>
      <c r="B354" t="s">
        <v>1197</v>
      </c>
      <c r="C354" s="1">
        <v>363</v>
      </c>
      <c r="I354" s="1">
        <v>0</v>
      </c>
      <c r="J354" s="1">
        <v>0</v>
      </c>
      <c r="K354" s="1">
        <v>0</v>
      </c>
      <c r="L354" s="1">
        <v>0</v>
      </c>
      <c r="M354" s="6" t="s">
        <v>2784</v>
      </c>
      <c r="N354" s="1">
        <v>147</v>
      </c>
      <c r="O354" s="1">
        <v>147</v>
      </c>
      <c r="P354" t="s">
        <v>2778</v>
      </c>
      <c r="Q35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54" s="1" t="s">
        <v>2779</v>
      </c>
    </row>
    <row r="355" spans="1:18" x14ac:dyDescent="0.25">
      <c r="A355" t="s">
        <v>883</v>
      </c>
      <c r="B355" t="s">
        <v>884</v>
      </c>
      <c r="C355" s="1">
        <v>2987</v>
      </c>
      <c r="I355" s="1">
        <v>84</v>
      </c>
      <c r="J355" s="1">
        <v>242</v>
      </c>
      <c r="K355" s="1">
        <v>0</v>
      </c>
      <c r="L355" s="1">
        <v>326</v>
      </c>
      <c r="M355" s="6">
        <f>(Table2[[#This Row],[Grand Total of Lead Service Lines Replaced]]/(Table2[[#This Row],[Total to be identified or replaced]]+Table2[[#This Row],[Grand Total of Lead Service Lines Replaced]]))</f>
        <v>0</v>
      </c>
      <c r="N355" s="1">
        <v>1193</v>
      </c>
      <c r="O355" s="1">
        <v>1519</v>
      </c>
      <c r="P355" t="s">
        <v>2778</v>
      </c>
      <c r="Q35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55" s="1" t="s">
        <v>2783</v>
      </c>
    </row>
    <row r="356" spans="1:18" x14ac:dyDescent="0.25">
      <c r="A356" t="s">
        <v>909</v>
      </c>
      <c r="B356" t="s">
        <v>910</v>
      </c>
      <c r="C356" s="1">
        <v>3270</v>
      </c>
      <c r="I356" s="1">
        <v>0</v>
      </c>
      <c r="J356" s="1">
        <v>0</v>
      </c>
      <c r="K356" s="1">
        <v>291</v>
      </c>
      <c r="L356" s="1">
        <v>291</v>
      </c>
      <c r="M356" s="6">
        <f>(Table2[[#This Row],[Grand Total of Lead Service Lines Replaced]]/(Table2[[#This Row],[Total to be identified or replaced]]+Table2[[#This Row],[Grand Total of Lead Service Lines Replaced]]))</f>
        <v>0</v>
      </c>
      <c r="N356" s="1">
        <v>731</v>
      </c>
      <c r="O356" s="1">
        <v>1022</v>
      </c>
      <c r="P356" t="s">
        <v>2778</v>
      </c>
      <c r="Q35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56" s="1" t="s">
        <v>2783</v>
      </c>
    </row>
    <row r="357" spans="1:18" x14ac:dyDescent="0.25">
      <c r="A357" t="s">
        <v>1354</v>
      </c>
      <c r="B357" t="s">
        <v>1355</v>
      </c>
      <c r="C357" s="1">
        <v>290</v>
      </c>
      <c r="I357" s="1">
        <v>0</v>
      </c>
      <c r="J357" s="1">
        <v>0</v>
      </c>
      <c r="K357" s="1">
        <v>104</v>
      </c>
      <c r="L357" s="1">
        <v>104</v>
      </c>
      <c r="M357" s="6">
        <f>(Table2[[#This Row],[Grand Total of Lead Service Lines Replaced]]/(Table2[[#This Row],[Total to be identified or replaced]]+Table2[[#This Row],[Grand Total of Lead Service Lines Replaced]]))</f>
        <v>0</v>
      </c>
      <c r="N357" s="1">
        <v>52</v>
      </c>
      <c r="O357" s="1">
        <v>156</v>
      </c>
      <c r="P357" t="s">
        <v>2778</v>
      </c>
      <c r="Q35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57" s="1" t="s">
        <v>2783</v>
      </c>
    </row>
    <row r="358" spans="1:18" x14ac:dyDescent="0.25">
      <c r="A358" t="s">
        <v>1202</v>
      </c>
      <c r="B358" t="s">
        <v>1203</v>
      </c>
      <c r="C358" s="1">
        <v>288</v>
      </c>
      <c r="I358" s="1">
        <v>0</v>
      </c>
      <c r="J358" s="1">
        <v>0</v>
      </c>
      <c r="K358" s="1">
        <v>0</v>
      </c>
      <c r="L358" s="1">
        <v>0</v>
      </c>
      <c r="M358" s="6" t="s">
        <v>2784</v>
      </c>
      <c r="N358" s="1">
        <v>5</v>
      </c>
      <c r="O358" s="1">
        <v>5</v>
      </c>
      <c r="P358" t="s">
        <v>2778</v>
      </c>
      <c r="Q35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58" s="1" t="s">
        <v>2779</v>
      </c>
    </row>
    <row r="359" spans="1:18" x14ac:dyDescent="0.25">
      <c r="A359" t="s">
        <v>1204</v>
      </c>
      <c r="B359" t="s">
        <v>1205</v>
      </c>
      <c r="C359" s="1">
        <v>162</v>
      </c>
      <c r="I359" s="1">
        <v>0</v>
      </c>
      <c r="J359" s="1">
        <v>0</v>
      </c>
      <c r="K359" s="1">
        <v>0</v>
      </c>
      <c r="L359" s="1">
        <v>0</v>
      </c>
      <c r="M359" s="6" t="s">
        <v>2784</v>
      </c>
      <c r="N359" s="1">
        <v>46</v>
      </c>
      <c r="O359" s="1">
        <v>46</v>
      </c>
      <c r="P359" t="s">
        <v>2778</v>
      </c>
      <c r="Q35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59" s="1" t="s">
        <v>2779</v>
      </c>
    </row>
    <row r="360" spans="1:18" x14ac:dyDescent="0.25">
      <c r="A360" t="s">
        <v>943</v>
      </c>
      <c r="B360" t="s">
        <v>944</v>
      </c>
      <c r="C360" s="1">
        <v>580</v>
      </c>
      <c r="I360" s="1">
        <v>0</v>
      </c>
      <c r="J360" s="1">
        <v>0</v>
      </c>
      <c r="K360" s="1">
        <v>260</v>
      </c>
      <c r="L360" s="1">
        <v>260</v>
      </c>
      <c r="M360" s="6">
        <f>(Table2[[#This Row],[Grand Total of Lead Service Lines Replaced]]/(Table2[[#This Row],[Total to be identified or replaced]]+Table2[[#This Row],[Grand Total of Lead Service Lines Replaced]]))</f>
        <v>0</v>
      </c>
      <c r="N360" s="1">
        <v>206</v>
      </c>
      <c r="O360" s="1">
        <v>466</v>
      </c>
      <c r="P360" t="s">
        <v>2778</v>
      </c>
      <c r="Q36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60" s="1" t="s">
        <v>2783</v>
      </c>
    </row>
    <row r="361" spans="1:18" x14ac:dyDescent="0.25">
      <c r="A361" t="s">
        <v>1206</v>
      </c>
      <c r="B361" t="s">
        <v>1207</v>
      </c>
      <c r="C361" s="1">
        <v>1260</v>
      </c>
      <c r="I361" s="1">
        <v>0</v>
      </c>
      <c r="J361" s="1">
        <v>0</v>
      </c>
      <c r="K361" s="1">
        <v>0</v>
      </c>
      <c r="L361" s="1">
        <v>0</v>
      </c>
      <c r="M361" s="6" t="s">
        <v>2784</v>
      </c>
      <c r="N361" s="1">
        <v>556</v>
      </c>
      <c r="O361" s="1">
        <v>556</v>
      </c>
      <c r="P361" t="s">
        <v>2778</v>
      </c>
      <c r="Q36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61" s="1" t="s">
        <v>2779</v>
      </c>
    </row>
    <row r="362" spans="1:18" x14ac:dyDescent="0.25">
      <c r="A362" t="s">
        <v>1208</v>
      </c>
      <c r="B362" t="s">
        <v>1209</v>
      </c>
      <c r="C362" s="1">
        <v>1125</v>
      </c>
      <c r="I362" s="1">
        <v>0</v>
      </c>
      <c r="J362" s="1">
        <v>0</v>
      </c>
      <c r="K362" s="1">
        <v>0</v>
      </c>
      <c r="L362" s="1">
        <v>0</v>
      </c>
      <c r="M362" s="6" t="s">
        <v>2784</v>
      </c>
      <c r="N362" s="1">
        <v>455</v>
      </c>
      <c r="O362" s="1">
        <v>455</v>
      </c>
      <c r="P362" t="s">
        <v>2778</v>
      </c>
      <c r="Q36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62" s="1" t="s">
        <v>2779</v>
      </c>
    </row>
    <row r="363" spans="1:18" x14ac:dyDescent="0.25">
      <c r="A363" t="s">
        <v>1272</v>
      </c>
      <c r="B363" t="s">
        <v>1273</v>
      </c>
      <c r="C363" s="1">
        <v>40</v>
      </c>
      <c r="I363" s="1">
        <v>0</v>
      </c>
      <c r="J363" s="1">
        <v>0</v>
      </c>
      <c r="K363" s="1">
        <v>0</v>
      </c>
      <c r="L363" s="1">
        <v>0</v>
      </c>
      <c r="M363" s="6" t="s">
        <v>2784</v>
      </c>
      <c r="N363" s="1">
        <v>14</v>
      </c>
      <c r="O363" s="1">
        <v>14</v>
      </c>
      <c r="P363">
        <v>2020</v>
      </c>
      <c r="Q3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63" s="1" t="s">
        <v>2779</v>
      </c>
    </row>
    <row r="364" spans="1:18" x14ac:dyDescent="0.25">
      <c r="A364" t="s">
        <v>1394</v>
      </c>
      <c r="B364" t="s">
        <v>1395</v>
      </c>
      <c r="C364" s="1">
        <v>230</v>
      </c>
      <c r="I364" s="1">
        <v>0</v>
      </c>
      <c r="J364" s="1">
        <v>0</v>
      </c>
      <c r="K364" s="1">
        <v>100</v>
      </c>
      <c r="L364" s="1">
        <v>100</v>
      </c>
      <c r="M364" s="6">
        <f>(Table2[[#This Row],[Grand Total of Lead Service Lines Replaced]]/(Table2[[#This Row],[Total to be identified or replaced]]+Table2[[#This Row],[Grand Total of Lead Service Lines Replaced]]))</f>
        <v>0</v>
      </c>
      <c r="N364" s="1">
        <v>77</v>
      </c>
      <c r="O364" s="1">
        <v>177</v>
      </c>
      <c r="P364" t="s">
        <v>2778</v>
      </c>
      <c r="Q36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64" s="1" t="s">
        <v>2783</v>
      </c>
    </row>
    <row r="365" spans="1:18" x14ac:dyDescent="0.25">
      <c r="A365" t="s">
        <v>391</v>
      </c>
      <c r="B365" t="s">
        <v>392</v>
      </c>
      <c r="C365" s="1">
        <v>127000</v>
      </c>
      <c r="I365" s="1">
        <v>0</v>
      </c>
      <c r="J365" s="1">
        <v>0</v>
      </c>
      <c r="K365" s="1">
        <v>1995</v>
      </c>
      <c r="L365" s="1">
        <v>1995</v>
      </c>
      <c r="M365" s="6">
        <f>(Table2[[#This Row],[Grand Total of Lead Service Lines Replaced]]/(Table2[[#This Row],[Total to be identified or replaced]]+Table2[[#This Row],[Grand Total of Lead Service Lines Replaced]]))</f>
        <v>0</v>
      </c>
      <c r="N365" s="1">
        <v>37900</v>
      </c>
      <c r="O365" s="1">
        <v>39895</v>
      </c>
      <c r="P365" t="s">
        <v>2778</v>
      </c>
      <c r="Q36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65" s="1" t="s">
        <v>2783</v>
      </c>
    </row>
    <row r="366" spans="1:18" x14ac:dyDescent="0.25">
      <c r="A366" t="s">
        <v>1897</v>
      </c>
      <c r="B366" t="s">
        <v>1898</v>
      </c>
      <c r="C366" s="1">
        <v>84</v>
      </c>
      <c r="I366" s="1">
        <v>0</v>
      </c>
      <c r="J366" s="1">
        <v>0</v>
      </c>
      <c r="K366" s="1">
        <v>49</v>
      </c>
      <c r="L366" s="1">
        <v>49</v>
      </c>
      <c r="M366" s="6">
        <f>(Table2[[#This Row],[Grand Total of Lead Service Lines Replaced]]/(Table2[[#This Row],[Total to be identified or replaced]]+Table2[[#This Row],[Grand Total of Lead Service Lines Replaced]]))</f>
        <v>0</v>
      </c>
      <c r="N366" s="1">
        <v>0</v>
      </c>
      <c r="O366" s="1">
        <v>49</v>
      </c>
      <c r="P366" t="s">
        <v>2778</v>
      </c>
      <c r="Q36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66" s="1" t="s">
        <v>2783</v>
      </c>
    </row>
    <row r="367" spans="1:18" x14ac:dyDescent="0.25">
      <c r="A367" t="s">
        <v>1220</v>
      </c>
      <c r="B367" t="s">
        <v>1221</v>
      </c>
      <c r="C367" s="1">
        <v>349</v>
      </c>
      <c r="I367" s="1">
        <v>0</v>
      </c>
      <c r="J367" s="1">
        <v>0</v>
      </c>
      <c r="K367" s="1">
        <v>0</v>
      </c>
      <c r="L367" s="1">
        <v>0</v>
      </c>
      <c r="M367" s="6" t="s">
        <v>2784</v>
      </c>
      <c r="N367" s="1">
        <v>235</v>
      </c>
      <c r="O367" s="1">
        <v>235</v>
      </c>
      <c r="P367" t="s">
        <v>2778</v>
      </c>
      <c r="Q36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67" s="1" t="s">
        <v>2779</v>
      </c>
    </row>
    <row r="368" spans="1:18" x14ac:dyDescent="0.25">
      <c r="A368" t="s">
        <v>1224</v>
      </c>
      <c r="B368" t="s">
        <v>1225</v>
      </c>
      <c r="C368" s="1">
        <v>255</v>
      </c>
      <c r="L368" s="1">
        <v>0</v>
      </c>
      <c r="M368" s="6" t="s">
        <v>2784</v>
      </c>
      <c r="N368" s="1">
        <v>70</v>
      </c>
      <c r="O368" s="1">
        <v>70</v>
      </c>
      <c r="P368" t="s">
        <v>2778</v>
      </c>
      <c r="Q36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68" s="1" t="s">
        <v>2779</v>
      </c>
    </row>
    <row r="369" spans="1:18" x14ac:dyDescent="0.25">
      <c r="A369" t="s">
        <v>1226</v>
      </c>
      <c r="B369" t="s">
        <v>1227</v>
      </c>
      <c r="C369" s="1">
        <v>510</v>
      </c>
      <c r="L369" s="1">
        <v>0</v>
      </c>
      <c r="M369" s="6" t="s">
        <v>2784</v>
      </c>
      <c r="N369" s="1">
        <v>127</v>
      </c>
      <c r="O369" s="1">
        <v>127</v>
      </c>
      <c r="P369" t="s">
        <v>2778</v>
      </c>
      <c r="Q36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69" s="1" t="s">
        <v>2779</v>
      </c>
    </row>
    <row r="370" spans="1:18" x14ac:dyDescent="0.25">
      <c r="A370" t="s">
        <v>753</v>
      </c>
      <c r="B370" t="s">
        <v>754</v>
      </c>
      <c r="C370" s="1">
        <v>2155</v>
      </c>
      <c r="I370" s="1">
        <v>0</v>
      </c>
      <c r="J370" s="1">
        <v>0</v>
      </c>
      <c r="K370" s="1">
        <v>467</v>
      </c>
      <c r="L370" s="1">
        <v>467</v>
      </c>
      <c r="M370" s="6">
        <f>(Table2[[#This Row],[Grand Total of Lead Service Lines Replaced]]/(Table2[[#This Row],[Total to be identified or replaced]]+Table2[[#This Row],[Grand Total of Lead Service Lines Replaced]]))</f>
        <v>0</v>
      </c>
      <c r="N370" s="1">
        <v>369</v>
      </c>
      <c r="O370" s="1">
        <v>836</v>
      </c>
      <c r="P370" t="s">
        <v>2778</v>
      </c>
      <c r="Q37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70" s="1" t="s">
        <v>2783</v>
      </c>
    </row>
    <row r="371" spans="1:18" x14ac:dyDescent="0.25">
      <c r="A371" t="s">
        <v>1230</v>
      </c>
      <c r="B371" t="s">
        <v>1231</v>
      </c>
      <c r="C371" s="1">
        <v>168</v>
      </c>
      <c r="I371" s="1">
        <v>0</v>
      </c>
      <c r="J371" s="1">
        <v>0</v>
      </c>
      <c r="K371" s="1">
        <v>0</v>
      </c>
      <c r="L371" s="1">
        <v>0</v>
      </c>
      <c r="M371" s="6" t="s">
        <v>2784</v>
      </c>
      <c r="N371" s="1">
        <v>67</v>
      </c>
      <c r="O371" s="1">
        <v>67</v>
      </c>
      <c r="P371" t="s">
        <v>2778</v>
      </c>
      <c r="Q37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71" s="1" t="s">
        <v>2779</v>
      </c>
    </row>
    <row r="372" spans="1:18" x14ac:dyDescent="0.25">
      <c r="A372" t="s">
        <v>1232</v>
      </c>
      <c r="B372" t="s">
        <v>1233</v>
      </c>
      <c r="C372" s="1">
        <v>266</v>
      </c>
      <c r="I372" s="1">
        <v>0</v>
      </c>
      <c r="J372" s="1">
        <v>0</v>
      </c>
      <c r="K372" s="1">
        <v>0</v>
      </c>
      <c r="L372" s="1">
        <v>0</v>
      </c>
      <c r="M372" s="6" t="s">
        <v>2784</v>
      </c>
      <c r="N372" s="1">
        <v>109</v>
      </c>
      <c r="O372" s="1">
        <v>109</v>
      </c>
      <c r="P372" t="s">
        <v>2778</v>
      </c>
      <c r="Q37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72" s="1" t="s">
        <v>2779</v>
      </c>
    </row>
    <row r="373" spans="1:18" x14ac:dyDescent="0.25">
      <c r="A373" t="s">
        <v>1234</v>
      </c>
      <c r="B373" t="s">
        <v>1235</v>
      </c>
      <c r="C373" s="1">
        <v>50</v>
      </c>
      <c r="I373" s="1">
        <v>0</v>
      </c>
      <c r="J373" s="1">
        <v>0</v>
      </c>
      <c r="K373" s="1">
        <v>0</v>
      </c>
      <c r="L373" s="1">
        <v>0</v>
      </c>
      <c r="M373" s="6" t="s">
        <v>2784</v>
      </c>
      <c r="N373" s="1">
        <v>2</v>
      </c>
      <c r="O373" s="1">
        <v>2</v>
      </c>
      <c r="P373" t="s">
        <v>2778</v>
      </c>
      <c r="Q3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73" s="1" t="s">
        <v>2779</v>
      </c>
    </row>
    <row r="374" spans="1:18" x14ac:dyDescent="0.25">
      <c r="A374" t="s">
        <v>997</v>
      </c>
      <c r="B374" t="s">
        <v>998</v>
      </c>
      <c r="C374" s="1">
        <v>1827</v>
      </c>
      <c r="I374" s="1">
        <v>0</v>
      </c>
      <c r="J374" s="1">
        <v>0</v>
      </c>
      <c r="K374" s="1">
        <v>241</v>
      </c>
      <c r="L374" s="1">
        <v>241</v>
      </c>
      <c r="M374" s="6">
        <f>(Table2[[#This Row],[Grand Total of Lead Service Lines Replaced]]/(Table2[[#This Row],[Total to be identified or replaced]]+Table2[[#This Row],[Grand Total of Lead Service Lines Replaced]]))</f>
        <v>0</v>
      </c>
      <c r="N374" s="1">
        <v>768</v>
      </c>
      <c r="O374" s="1">
        <v>1009</v>
      </c>
      <c r="P374" t="s">
        <v>2778</v>
      </c>
      <c r="Q37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74" s="1" t="s">
        <v>2783</v>
      </c>
    </row>
    <row r="375" spans="1:18" x14ac:dyDescent="0.25">
      <c r="A375" t="s">
        <v>1112</v>
      </c>
      <c r="B375" t="s">
        <v>1113</v>
      </c>
      <c r="C375" s="1">
        <v>438</v>
      </c>
      <c r="I375" s="1">
        <v>0</v>
      </c>
      <c r="J375" s="1">
        <v>1</v>
      </c>
      <c r="K375" s="1">
        <v>170</v>
      </c>
      <c r="L375" s="1">
        <v>171</v>
      </c>
      <c r="M375" s="6">
        <f>(Table2[[#This Row],[Grand Total of Lead Service Lines Replaced]]/(Table2[[#This Row],[Total to be identified or replaced]]+Table2[[#This Row],[Grand Total of Lead Service Lines Replaced]]))</f>
        <v>0</v>
      </c>
      <c r="N375" s="1">
        <v>85</v>
      </c>
      <c r="O375" s="1">
        <v>256</v>
      </c>
      <c r="P375" t="s">
        <v>2778</v>
      </c>
      <c r="Q37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75" s="1" t="s">
        <v>2783</v>
      </c>
    </row>
    <row r="376" spans="1:18" x14ac:dyDescent="0.25">
      <c r="A376" t="s">
        <v>1328</v>
      </c>
      <c r="B376" t="s">
        <v>1329</v>
      </c>
      <c r="C376" s="1">
        <v>375</v>
      </c>
      <c r="K376" s="1">
        <v>111</v>
      </c>
      <c r="L376" s="1">
        <v>111</v>
      </c>
      <c r="M376" s="6">
        <f>(Table2[[#This Row],[Grand Total of Lead Service Lines Replaced]]/(Table2[[#This Row],[Total to be identified or replaced]]+Table2[[#This Row],[Grand Total of Lead Service Lines Replaced]]))</f>
        <v>0</v>
      </c>
      <c r="N376" s="1">
        <v>29</v>
      </c>
      <c r="O376" s="1">
        <v>140</v>
      </c>
      <c r="P376" t="s">
        <v>2778</v>
      </c>
      <c r="Q37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76" s="1" t="s">
        <v>2783</v>
      </c>
    </row>
    <row r="377" spans="1:18" x14ac:dyDescent="0.25">
      <c r="A377" t="s">
        <v>859</v>
      </c>
      <c r="B377" t="s">
        <v>860</v>
      </c>
      <c r="C377" s="1">
        <v>858</v>
      </c>
      <c r="I377" s="1">
        <v>0</v>
      </c>
      <c r="J377" s="1">
        <v>14</v>
      </c>
      <c r="K377" s="1">
        <v>325</v>
      </c>
      <c r="L377" s="1">
        <v>339</v>
      </c>
      <c r="M377" s="6">
        <f>(Table2[[#This Row],[Grand Total of Lead Service Lines Replaced]]/(Table2[[#This Row],[Total to be identified or replaced]]+Table2[[#This Row],[Grand Total of Lead Service Lines Replaced]]))</f>
        <v>0</v>
      </c>
      <c r="N377" s="1">
        <v>87</v>
      </c>
      <c r="O377" s="1">
        <v>426</v>
      </c>
      <c r="P377" t="s">
        <v>2778</v>
      </c>
      <c r="Q37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77" s="1" t="s">
        <v>2783</v>
      </c>
    </row>
    <row r="378" spans="1:18" x14ac:dyDescent="0.25">
      <c r="A378" t="s">
        <v>823</v>
      </c>
      <c r="B378" t="s">
        <v>824</v>
      </c>
      <c r="C378" s="1">
        <v>12927</v>
      </c>
      <c r="I378" s="1">
        <v>0</v>
      </c>
      <c r="J378" s="1">
        <v>0</v>
      </c>
      <c r="K378" s="1">
        <v>371</v>
      </c>
      <c r="L378" s="1">
        <v>371</v>
      </c>
      <c r="M378" s="6">
        <f>(Table2[[#This Row],[Grand Total of Lead Service Lines Replaced]]/(Table2[[#This Row],[Total to be identified or replaced]]+Table2[[#This Row],[Grand Total of Lead Service Lines Replaced]]))</f>
        <v>0</v>
      </c>
      <c r="N378" s="1">
        <v>1639</v>
      </c>
      <c r="O378" s="1">
        <v>2010</v>
      </c>
      <c r="P378" t="s">
        <v>2778</v>
      </c>
      <c r="Q37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78" s="1" t="s">
        <v>2783</v>
      </c>
    </row>
    <row r="379" spans="1:18" x14ac:dyDescent="0.25">
      <c r="A379" t="s">
        <v>1244</v>
      </c>
      <c r="B379" t="s">
        <v>1245</v>
      </c>
      <c r="C379" s="1">
        <v>145</v>
      </c>
      <c r="I379" s="1">
        <v>0</v>
      </c>
      <c r="J379" s="1">
        <v>0</v>
      </c>
      <c r="K379" s="1">
        <v>0</v>
      </c>
      <c r="L379" s="1">
        <v>0</v>
      </c>
      <c r="M379" s="6" t="s">
        <v>2784</v>
      </c>
      <c r="N379" s="1">
        <v>78</v>
      </c>
      <c r="O379" s="1">
        <v>78</v>
      </c>
      <c r="P379" t="s">
        <v>2778</v>
      </c>
      <c r="Q3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79" s="1" t="s">
        <v>2779</v>
      </c>
    </row>
    <row r="380" spans="1:18" x14ac:dyDescent="0.25">
      <c r="A380" t="s">
        <v>1246</v>
      </c>
      <c r="B380" t="s">
        <v>1247</v>
      </c>
      <c r="C380" s="1">
        <v>272</v>
      </c>
      <c r="L380" s="1">
        <v>0</v>
      </c>
      <c r="M380" s="6" t="s">
        <v>2784</v>
      </c>
      <c r="N380" s="1">
        <v>109</v>
      </c>
      <c r="O380" s="1">
        <v>109</v>
      </c>
      <c r="P380" t="s">
        <v>2778</v>
      </c>
      <c r="Q38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80" s="1" t="s">
        <v>2779</v>
      </c>
    </row>
    <row r="381" spans="1:18" x14ac:dyDescent="0.25">
      <c r="A381" t="s">
        <v>1248</v>
      </c>
      <c r="B381" t="s">
        <v>1249</v>
      </c>
      <c r="C381" s="1">
        <v>190</v>
      </c>
      <c r="I381" s="1">
        <v>0</v>
      </c>
      <c r="J381" s="1">
        <v>0</v>
      </c>
      <c r="K381" s="1">
        <v>0</v>
      </c>
      <c r="L381" s="1">
        <v>0</v>
      </c>
      <c r="M381" s="6" t="s">
        <v>2784</v>
      </c>
      <c r="N381" s="1">
        <v>76</v>
      </c>
      <c r="O381" s="1">
        <v>76</v>
      </c>
      <c r="P381" t="s">
        <v>2778</v>
      </c>
      <c r="Q3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81" s="1" t="s">
        <v>2779</v>
      </c>
    </row>
    <row r="382" spans="1:18" x14ac:dyDescent="0.25">
      <c r="A382" t="s">
        <v>79</v>
      </c>
      <c r="B382" t="s">
        <v>80</v>
      </c>
      <c r="I382" s="1">
        <v>0</v>
      </c>
      <c r="J382" s="1">
        <v>0</v>
      </c>
      <c r="K382" s="1">
        <v>0</v>
      </c>
      <c r="L382" s="1">
        <v>0</v>
      </c>
      <c r="M382" s="6" t="s">
        <v>2784</v>
      </c>
      <c r="N382" s="1">
        <v>0</v>
      </c>
      <c r="O382" s="1">
        <v>0</v>
      </c>
      <c r="P382" t="s">
        <v>2778</v>
      </c>
      <c r="Q382" t="s">
        <v>2788</v>
      </c>
      <c r="R382" t="s">
        <v>2788</v>
      </c>
    </row>
    <row r="383" spans="1:18" x14ac:dyDescent="0.25">
      <c r="A383" t="s">
        <v>1252</v>
      </c>
      <c r="B383" t="s">
        <v>1253</v>
      </c>
      <c r="C383" s="1">
        <v>717</v>
      </c>
      <c r="I383" s="1">
        <v>0</v>
      </c>
      <c r="J383" s="1">
        <v>0</v>
      </c>
      <c r="K383" s="1">
        <v>0</v>
      </c>
      <c r="L383" s="1">
        <v>0</v>
      </c>
      <c r="M383" s="6" t="s">
        <v>2784</v>
      </c>
      <c r="N383" s="1">
        <v>260</v>
      </c>
      <c r="O383" s="1">
        <v>260</v>
      </c>
      <c r="P383" t="s">
        <v>2778</v>
      </c>
      <c r="Q38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83" s="1" t="s">
        <v>2779</v>
      </c>
    </row>
    <row r="384" spans="1:18" x14ac:dyDescent="0.25">
      <c r="A384" t="s">
        <v>1254</v>
      </c>
      <c r="B384" t="s">
        <v>1255</v>
      </c>
      <c r="C384" s="1">
        <v>88</v>
      </c>
      <c r="I384" s="1">
        <v>0</v>
      </c>
      <c r="J384" s="1">
        <v>0</v>
      </c>
      <c r="K384" s="1">
        <v>0</v>
      </c>
      <c r="L384" s="1">
        <v>0</v>
      </c>
      <c r="M384" s="6" t="s">
        <v>2784</v>
      </c>
      <c r="N384" s="1">
        <v>60</v>
      </c>
      <c r="O384" s="1">
        <v>60</v>
      </c>
      <c r="P384" t="s">
        <v>2778</v>
      </c>
      <c r="Q38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84" s="1" t="s">
        <v>2779</v>
      </c>
    </row>
    <row r="385" spans="1:18" x14ac:dyDescent="0.25">
      <c r="A385" t="s">
        <v>1256</v>
      </c>
      <c r="B385" t="s">
        <v>1257</v>
      </c>
      <c r="C385" s="1">
        <v>57</v>
      </c>
      <c r="I385" s="1">
        <v>0</v>
      </c>
      <c r="J385" s="1">
        <v>0</v>
      </c>
      <c r="L385" s="1">
        <v>0</v>
      </c>
      <c r="M385" s="6" t="s">
        <v>2784</v>
      </c>
      <c r="N385" s="1">
        <v>42</v>
      </c>
      <c r="O385" s="1">
        <v>42</v>
      </c>
      <c r="P385" t="s">
        <v>2778</v>
      </c>
      <c r="Q38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85" s="1" t="s">
        <v>2779</v>
      </c>
    </row>
    <row r="386" spans="1:18" x14ac:dyDescent="0.25">
      <c r="A386" t="s">
        <v>1258</v>
      </c>
      <c r="B386" t="s">
        <v>1259</v>
      </c>
      <c r="C386" s="1">
        <v>56</v>
      </c>
      <c r="I386" s="1">
        <v>0</v>
      </c>
      <c r="J386" s="1">
        <v>0</v>
      </c>
      <c r="K386" s="1">
        <v>0</v>
      </c>
      <c r="L386" s="1">
        <v>0</v>
      </c>
      <c r="M386" s="6" t="s">
        <v>2784</v>
      </c>
      <c r="N386" s="1">
        <v>11</v>
      </c>
      <c r="O386" s="1">
        <v>11</v>
      </c>
      <c r="P386" t="s">
        <v>2778</v>
      </c>
      <c r="Q38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86" s="1" t="s">
        <v>2779</v>
      </c>
    </row>
    <row r="387" spans="1:18" x14ac:dyDescent="0.25">
      <c r="A387" t="s">
        <v>1262</v>
      </c>
      <c r="B387" t="s">
        <v>1263</v>
      </c>
      <c r="C387" s="1">
        <v>56823</v>
      </c>
      <c r="I387" s="1">
        <v>0</v>
      </c>
      <c r="J387" s="1">
        <v>0</v>
      </c>
      <c r="K387" s="1">
        <v>0</v>
      </c>
      <c r="L387" s="1">
        <v>0</v>
      </c>
      <c r="M387" s="6" t="s">
        <v>2784</v>
      </c>
      <c r="N387" s="1">
        <v>23250</v>
      </c>
      <c r="O387" s="1">
        <v>23250</v>
      </c>
      <c r="P387" t="s">
        <v>2778</v>
      </c>
      <c r="Q38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87" s="1" t="s">
        <v>2779</v>
      </c>
    </row>
    <row r="388" spans="1:18" x14ac:dyDescent="0.25">
      <c r="A388" t="s">
        <v>2434</v>
      </c>
      <c r="B388" t="s">
        <v>2435</v>
      </c>
      <c r="C388" s="1">
        <v>5535</v>
      </c>
      <c r="I388" s="1">
        <v>8</v>
      </c>
      <c r="J388" s="1">
        <v>0</v>
      </c>
      <c r="K388" s="1">
        <v>0</v>
      </c>
      <c r="L388" s="1">
        <v>8</v>
      </c>
      <c r="M388" s="6">
        <f>(Table2[[#This Row],[Grand Total of Lead Service Lines Replaced]]/(Table2[[#This Row],[Total to be identified or replaced]]+Table2[[#This Row],[Grand Total of Lead Service Lines Replaced]]))</f>
        <v>0</v>
      </c>
      <c r="N388" s="1">
        <v>2750</v>
      </c>
      <c r="O388" s="1">
        <v>2758</v>
      </c>
      <c r="P388" t="s">
        <v>2778</v>
      </c>
      <c r="Q38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88" s="1" t="s">
        <v>2783</v>
      </c>
    </row>
    <row r="389" spans="1:18" x14ac:dyDescent="0.25">
      <c r="A389" t="s">
        <v>2181</v>
      </c>
      <c r="B389" t="s">
        <v>2182</v>
      </c>
      <c r="C389" s="1">
        <v>27359</v>
      </c>
      <c r="I389" s="1">
        <v>0</v>
      </c>
      <c r="J389" s="1">
        <v>0</v>
      </c>
      <c r="K389" s="1">
        <v>24</v>
      </c>
      <c r="L389" s="1">
        <v>24</v>
      </c>
      <c r="M389" s="6">
        <f>(Table2[[#This Row],[Grand Total of Lead Service Lines Replaced]]/(Table2[[#This Row],[Total to be identified or replaced]]+Table2[[#This Row],[Grand Total of Lead Service Lines Replaced]]))</f>
        <v>0</v>
      </c>
      <c r="N389" s="1">
        <v>7778</v>
      </c>
      <c r="O389" s="1">
        <v>7802</v>
      </c>
      <c r="P389" t="s">
        <v>2778</v>
      </c>
      <c r="Q38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89" s="1" t="s">
        <v>2783</v>
      </c>
    </row>
    <row r="390" spans="1:18" x14ac:dyDescent="0.25">
      <c r="A390" t="s">
        <v>2369</v>
      </c>
      <c r="B390" t="s">
        <v>2370</v>
      </c>
      <c r="C390" s="1">
        <v>256</v>
      </c>
      <c r="I390" s="1">
        <v>0</v>
      </c>
      <c r="J390" s="1">
        <v>0</v>
      </c>
      <c r="K390" s="1">
        <v>13</v>
      </c>
      <c r="L390" s="1">
        <v>13</v>
      </c>
      <c r="M390" s="6">
        <f>(Table2[[#This Row],[Grand Total of Lead Service Lines Replaced]]/(Table2[[#This Row],[Total to be identified or replaced]]+Table2[[#This Row],[Grand Total of Lead Service Lines Replaced]]))</f>
        <v>0</v>
      </c>
      <c r="N390" s="1">
        <v>59</v>
      </c>
      <c r="O390" s="1">
        <v>72</v>
      </c>
      <c r="P390">
        <v>2025</v>
      </c>
      <c r="Q39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90" s="1" t="s">
        <v>2783</v>
      </c>
    </row>
    <row r="391" spans="1:18" x14ac:dyDescent="0.25">
      <c r="A391" t="s">
        <v>1472</v>
      </c>
      <c r="B391" t="s">
        <v>1473</v>
      </c>
      <c r="C391" s="1">
        <v>458</v>
      </c>
      <c r="I391" s="1">
        <v>0</v>
      </c>
      <c r="J391" s="1">
        <v>0</v>
      </c>
      <c r="L391" s="1">
        <v>0</v>
      </c>
      <c r="M391" s="6" t="s">
        <v>2784</v>
      </c>
      <c r="N391" s="1">
        <v>230</v>
      </c>
      <c r="O391" s="1">
        <v>230</v>
      </c>
      <c r="P391">
        <v>2020</v>
      </c>
      <c r="Q39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91" s="1" t="s">
        <v>2779</v>
      </c>
    </row>
    <row r="392" spans="1:18" x14ac:dyDescent="0.25">
      <c r="A392" t="s">
        <v>2177</v>
      </c>
      <c r="B392" t="s">
        <v>2178</v>
      </c>
      <c r="C392" s="1">
        <v>1133</v>
      </c>
      <c r="I392" s="1">
        <v>0</v>
      </c>
      <c r="J392" s="1">
        <v>0</v>
      </c>
      <c r="K392" s="1">
        <v>0</v>
      </c>
      <c r="L392" s="1">
        <v>0</v>
      </c>
      <c r="M392" s="6" t="s">
        <v>2784</v>
      </c>
      <c r="N392" s="1">
        <v>228</v>
      </c>
      <c r="P392" t="s">
        <v>2778</v>
      </c>
      <c r="Q392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392" s="1" t="s">
        <v>2782</v>
      </c>
    </row>
    <row r="393" spans="1:18" x14ac:dyDescent="0.25">
      <c r="A393" t="s">
        <v>1644</v>
      </c>
      <c r="B393" t="s">
        <v>1645</v>
      </c>
      <c r="C393" s="1">
        <v>235</v>
      </c>
      <c r="K393" s="1">
        <v>75</v>
      </c>
      <c r="L393" s="1">
        <v>75</v>
      </c>
      <c r="M393" s="6">
        <f>(Table2[[#This Row],[Grand Total of Lead Service Lines Replaced]]/(Table2[[#This Row],[Total to be identified or replaced]]+Table2[[#This Row],[Grand Total of Lead Service Lines Replaced]]))</f>
        <v>0</v>
      </c>
      <c r="N393" s="1">
        <v>19</v>
      </c>
      <c r="O393" s="1">
        <v>94</v>
      </c>
      <c r="P393" t="s">
        <v>2778</v>
      </c>
      <c r="Q39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93" s="1" t="s">
        <v>2783</v>
      </c>
    </row>
    <row r="394" spans="1:18" x14ac:dyDescent="0.25">
      <c r="A394" t="s">
        <v>1798</v>
      </c>
      <c r="B394" t="s">
        <v>1799</v>
      </c>
      <c r="C394" s="1">
        <v>538</v>
      </c>
      <c r="K394" s="1">
        <v>59</v>
      </c>
      <c r="L394" s="1">
        <v>59</v>
      </c>
      <c r="M394" s="6">
        <f>(Table2[[#This Row],[Grand Total of Lead Service Lines Replaced]]/(Table2[[#This Row],[Total to be identified or replaced]]+Table2[[#This Row],[Grand Total of Lead Service Lines Replaced]]))</f>
        <v>0</v>
      </c>
      <c r="N394" s="1">
        <v>194</v>
      </c>
      <c r="O394" s="1">
        <v>253</v>
      </c>
      <c r="P394" t="s">
        <v>2778</v>
      </c>
      <c r="Q39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394" s="1" t="s">
        <v>2783</v>
      </c>
    </row>
    <row r="395" spans="1:18" x14ac:dyDescent="0.25">
      <c r="A395" t="s">
        <v>1278</v>
      </c>
      <c r="B395" t="s">
        <v>1279</v>
      </c>
      <c r="C395" s="1">
        <v>3268</v>
      </c>
      <c r="I395" s="1">
        <v>0</v>
      </c>
      <c r="J395" s="1">
        <v>0</v>
      </c>
      <c r="K395" s="1">
        <v>0</v>
      </c>
      <c r="L395" s="1">
        <v>0</v>
      </c>
      <c r="M395" s="6" t="s">
        <v>2784</v>
      </c>
      <c r="N395" s="1">
        <v>1546</v>
      </c>
      <c r="O395" s="1">
        <v>1546</v>
      </c>
      <c r="P395" t="s">
        <v>2778</v>
      </c>
      <c r="Q39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95" s="1" t="s">
        <v>2779</v>
      </c>
    </row>
    <row r="396" spans="1:18" x14ac:dyDescent="0.25">
      <c r="A396" t="s">
        <v>1282</v>
      </c>
      <c r="B396" t="s">
        <v>1283</v>
      </c>
      <c r="C396" s="1">
        <v>54</v>
      </c>
      <c r="I396" s="1">
        <v>0</v>
      </c>
      <c r="J396" s="1">
        <v>0</v>
      </c>
      <c r="K396" s="1">
        <v>0</v>
      </c>
      <c r="L396" s="1">
        <v>0</v>
      </c>
      <c r="M396" s="6" t="s">
        <v>2784</v>
      </c>
      <c r="N396" s="1">
        <v>3</v>
      </c>
      <c r="O396" s="1">
        <v>3</v>
      </c>
      <c r="P396" t="s">
        <v>2778</v>
      </c>
      <c r="Q39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96" s="1" t="s">
        <v>2779</v>
      </c>
    </row>
    <row r="397" spans="1:18" x14ac:dyDescent="0.25">
      <c r="A397" t="s">
        <v>1284</v>
      </c>
      <c r="B397" t="s">
        <v>1285</v>
      </c>
      <c r="C397" s="1">
        <v>940</v>
      </c>
      <c r="I397" s="1">
        <v>0</v>
      </c>
      <c r="J397" s="1">
        <v>0</v>
      </c>
      <c r="K397" s="1">
        <v>0</v>
      </c>
      <c r="L397" s="1">
        <v>0</v>
      </c>
      <c r="M397" s="6" t="s">
        <v>2784</v>
      </c>
      <c r="N397" s="1">
        <v>418</v>
      </c>
      <c r="O397" s="1">
        <v>418</v>
      </c>
      <c r="P397" t="s">
        <v>2778</v>
      </c>
      <c r="Q39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97" s="1" t="s">
        <v>2779</v>
      </c>
    </row>
    <row r="398" spans="1:18" x14ac:dyDescent="0.25">
      <c r="A398" t="s">
        <v>1286</v>
      </c>
      <c r="B398" t="s">
        <v>1287</v>
      </c>
      <c r="C398" s="1">
        <v>25</v>
      </c>
      <c r="L398" s="1">
        <v>0</v>
      </c>
      <c r="M398" s="6" t="s">
        <v>2784</v>
      </c>
      <c r="N398" s="1">
        <v>29</v>
      </c>
      <c r="O398" s="1">
        <v>29</v>
      </c>
      <c r="P398" t="s">
        <v>2778</v>
      </c>
      <c r="Q39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98" s="1" t="s">
        <v>2779</v>
      </c>
    </row>
    <row r="399" spans="1:18" x14ac:dyDescent="0.25">
      <c r="A399" t="s">
        <v>1288</v>
      </c>
      <c r="B399" t="s">
        <v>1289</v>
      </c>
      <c r="C399" s="1">
        <v>110</v>
      </c>
      <c r="I399" s="1">
        <v>0</v>
      </c>
      <c r="J399" s="1">
        <v>0</v>
      </c>
      <c r="K399" s="1">
        <v>0</v>
      </c>
      <c r="L399" s="1">
        <v>0</v>
      </c>
      <c r="M399" s="6" t="s">
        <v>2784</v>
      </c>
      <c r="N399" s="1">
        <v>53</v>
      </c>
      <c r="O399" s="1">
        <v>53</v>
      </c>
      <c r="P399" t="s">
        <v>2778</v>
      </c>
      <c r="Q3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399" s="1" t="s">
        <v>2779</v>
      </c>
    </row>
    <row r="400" spans="1:18" x14ac:dyDescent="0.25">
      <c r="A400" t="s">
        <v>2047</v>
      </c>
      <c r="B400" t="s">
        <v>2048</v>
      </c>
      <c r="C400" s="1">
        <v>90</v>
      </c>
      <c r="I400" s="1">
        <v>0</v>
      </c>
      <c r="J400" s="1">
        <v>0</v>
      </c>
      <c r="K400" s="1">
        <v>36</v>
      </c>
      <c r="L400" s="1">
        <v>36</v>
      </c>
      <c r="M400" s="6">
        <f>(Table2[[#This Row],[Grand Total of Lead Service Lines Replaced]]/(Table2[[#This Row],[Total to be identified or replaced]]+Table2[[#This Row],[Grand Total of Lead Service Lines Replaced]]))</f>
        <v>0</v>
      </c>
      <c r="N400" s="1">
        <v>0</v>
      </c>
      <c r="O400" s="1">
        <v>36</v>
      </c>
      <c r="P400" t="s">
        <v>2778</v>
      </c>
      <c r="Q40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00" s="1" t="s">
        <v>2783</v>
      </c>
    </row>
    <row r="401" spans="1:18" x14ac:dyDescent="0.25">
      <c r="A401" t="s">
        <v>2513</v>
      </c>
      <c r="B401" t="s">
        <v>2514</v>
      </c>
      <c r="C401" s="1">
        <v>90</v>
      </c>
      <c r="I401" s="1">
        <v>0</v>
      </c>
      <c r="J401" s="1">
        <v>0</v>
      </c>
      <c r="K401" s="1">
        <v>8</v>
      </c>
      <c r="L401" s="1">
        <v>8</v>
      </c>
      <c r="M401" s="6">
        <f>(Table2[[#This Row],[Grand Total of Lead Service Lines Replaced]]/(Table2[[#This Row],[Total to be identified or replaced]]+Table2[[#This Row],[Grand Total of Lead Service Lines Replaced]]))</f>
        <v>0</v>
      </c>
      <c r="N401" s="1">
        <v>12</v>
      </c>
      <c r="O401" s="1">
        <v>20</v>
      </c>
      <c r="P401" t="s">
        <v>2778</v>
      </c>
      <c r="Q40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01" s="1" t="s">
        <v>2783</v>
      </c>
    </row>
    <row r="402" spans="1:18" x14ac:dyDescent="0.25">
      <c r="A402" t="s">
        <v>1028</v>
      </c>
      <c r="B402" t="s">
        <v>1029</v>
      </c>
      <c r="C402" s="1">
        <v>13928</v>
      </c>
      <c r="I402" s="1">
        <v>0</v>
      </c>
      <c r="J402" s="1">
        <v>4</v>
      </c>
      <c r="K402" s="1">
        <v>224</v>
      </c>
      <c r="L402" s="1">
        <v>228</v>
      </c>
      <c r="M402" s="6">
        <f>(Table2[[#This Row],[Grand Total of Lead Service Lines Replaced]]/(Table2[[#This Row],[Total to be identified or replaced]]+Table2[[#This Row],[Grand Total of Lead Service Lines Replaced]]))</f>
        <v>0</v>
      </c>
      <c r="N402" s="1">
        <v>3271</v>
      </c>
      <c r="O402" s="1">
        <v>3499</v>
      </c>
      <c r="P402" t="s">
        <v>2778</v>
      </c>
      <c r="Q40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02" s="1" t="s">
        <v>2783</v>
      </c>
    </row>
    <row r="403" spans="1:18" x14ac:dyDescent="0.25">
      <c r="A403" t="s">
        <v>1294</v>
      </c>
      <c r="B403" t="s">
        <v>1295</v>
      </c>
      <c r="C403" s="1">
        <v>1200</v>
      </c>
      <c r="I403" s="1">
        <v>0</v>
      </c>
      <c r="J403" s="1">
        <v>0</v>
      </c>
      <c r="K403" s="1">
        <v>0</v>
      </c>
      <c r="L403" s="1">
        <v>0</v>
      </c>
      <c r="M403" s="6" t="s">
        <v>2784</v>
      </c>
      <c r="N403" s="1">
        <v>581</v>
      </c>
      <c r="O403" s="1">
        <v>581</v>
      </c>
      <c r="P403" t="s">
        <v>2778</v>
      </c>
      <c r="Q40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03" s="1" t="s">
        <v>2779</v>
      </c>
    </row>
    <row r="404" spans="1:18" x14ac:dyDescent="0.25">
      <c r="A404" t="s">
        <v>1200</v>
      </c>
      <c r="B404" t="s">
        <v>1201</v>
      </c>
      <c r="C404" s="1">
        <v>168</v>
      </c>
      <c r="I404" s="1">
        <v>0</v>
      </c>
      <c r="J404" s="1">
        <v>0</v>
      </c>
      <c r="K404" s="1">
        <v>0</v>
      </c>
      <c r="L404" s="1">
        <v>0</v>
      </c>
      <c r="M404" s="6" t="s">
        <v>2784</v>
      </c>
      <c r="N404" s="1">
        <v>23</v>
      </c>
      <c r="O404" s="1">
        <v>23</v>
      </c>
      <c r="P404" t="s">
        <v>2778</v>
      </c>
      <c r="Q40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04" s="1" t="s">
        <v>2779</v>
      </c>
    </row>
    <row r="405" spans="1:18" x14ac:dyDescent="0.25">
      <c r="A405" t="s">
        <v>1166</v>
      </c>
      <c r="B405" t="s">
        <v>1167</v>
      </c>
      <c r="C405" s="1">
        <v>375</v>
      </c>
      <c r="I405" s="1">
        <v>0</v>
      </c>
      <c r="J405" s="1">
        <v>146</v>
      </c>
      <c r="K405" s="1">
        <v>0</v>
      </c>
      <c r="L405" s="1">
        <v>146</v>
      </c>
      <c r="M405" s="6">
        <f>(Table2[[#This Row],[Grand Total of Lead Service Lines Replaced]]/(Table2[[#This Row],[Total to be identified or replaced]]+Table2[[#This Row],[Grand Total of Lead Service Lines Replaced]]))</f>
        <v>0</v>
      </c>
      <c r="N405" s="1">
        <v>0</v>
      </c>
      <c r="O405" s="1">
        <v>146</v>
      </c>
      <c r="P405" t="s">
        <v>2778</v>
      </c>
      <c r="Q40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05" s="1" t="s">
        <v>2783</v>
      </c>
    </row>
    <row r="406" spans="1:18" x14ac:dyDescent="0.25">
      <c r="A406" t="s">
        <v>1298</v>
      </c>
      <c r="B406" t="s">
        <v>1299</v>
      </c>
      <c r="C406" s="1">
        <v>950</v>
      </c>
      <c r="I406" s="1">
        <v>0</v>
      </c>
      <c r="J406" s="1">
        <v>0</v>
      </c>
      <c r="K406" s="1">
        <v>0</v>
      </c>
      <c r="L406" s="1">
        <v>0</v>
      </c>
      <c r="M406" s="6" t="s">
        <v>2784</v>
      </c>
      <c r="N406" s="1">
        <v>538</v>
      </c>
      <c r="O406" s="1">
        <v>538</v>
      </c>
      <c r="P406" t="s">
        <v>2778</v>
      </c>
      <c r="Q40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06" s="1" t="s">
        <v>2779</v>
      </c>
    </row>
    <row r="407" spans="1:18" x14ac:dyDescent="0.25">
      <c r="A407" t="s">
        <v>1300</v>
      </c>
      <c r="B407" t="s">
        <v>1301</v>
      </c>
      <c r="C407" s="1">
        <v>836</v>
      </c>
      <c r="I407" s="1">
        <v>0</v>
      </c>
      <c r="J407" s="1">
        <v>0</v>
      </c>
      <c r="K407" s="1">
        <v>0</v>
      </c>
      <c r="L407" s="1">
        <v>0</v>
      </c>
      <c r="M407" s="6" t="s">
        <v>2784</v>
      </c>
      <c r="N407" s="1">
        <v>503</v>
      </c>
      <c r="O407" s="1">
        <v>503</v>
      </c>
      <c r="P407" t="s">
        <v>2778</v>
      </c>
      <c r="Q40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07" s="1" t="s">
        <v>2779</v>
      </c>
    </row>
    <row r="408" spans="1:18" x14ac:dyDescent="0.25">
      <c r="A408" t="s">
        <v>2760</v>
      </c>
      <c r="B408" t="s">
        <v>2761</v>
      </c>
      <c r="C408" s="1">
        <v>1900</v>
      </c>
      <c r="I408" s="1">
        <v>0</v>
      </c>
      <c r="J408" s="1">
        <v>0</v>
      </c>
      <c r="K408" s="1">
        <v>38</v>
      </c>
      <c r="L408" s="1">
        <v>38</v>
      </c>
      <c r="M408" s="6">
        <f>(Table2[[#This Row],[Grand Total of Lead Service Lines Replaced]]/(Table2[[#This Row],[Total to be identified or replaced]]+Table2[[#This Row],[Grand Total of Lead Service Lines Replaced]]))</f>
        <v>0</v>
      </c>
      <c r="N408" s="1">
        <v>732</v>
      </c>
      <c r="O408" s="1">
        <v>743</v>
      </c>
      <c r="P408" t="s">
        <v>2778</v>
      </c>
      <c r="Q40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08" s="1" t="s">
        <v>2783</v>
      </c>
    </row>
    <row r="409" spans="1:18" x14ac:dyDescent="0.25">
      <c r="A409" t="s">
        <v>1302</v>
      </c>
      <c r="B409" t="s">
        <v>1303</v>
      </c>
      <c r="C409" s="1">
        <v>11616</v>
      </c>
      <c r="I409" s="1">
        <v>0</v>
      </c>
      <c r="J409" s="1">
        <v>0</v>
      </c>
      <c r="K409" s="1">
        <v>0</v>
      </c>
      <c r="L409" s="1">
        <v>0</v>
      </c>
      <c r="M409" s="6" t="s">
        <v>2784</v>
      </c>
      <c r="N409" s="1">
        <v>4274</v>
      </c>
      <c r="O409" s="1">
        <v>4274</v>
      </c>
      <c r="P409" t="s">
        <v>2778</v>
      </c>
      <c r="Q40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09" s="1" t="s">
        <v>2779</v>
      </c>
    </row>
    <row r="410" spans="1:18" x14ac:dyDescent="0.25">
      <c r="A410" t="s">
        <v>1304</v>
      </c>
      <c r="B410" t="s">
        <v>1305</v>
      </c>
      <c r="C410" s="1">
        <v>1136</v>
      </c>
      <c r="I410" s="1">
        <v>0</v>
      </c>
      <c r="J410" s="1">
        <v>0</v>
      </c>
      <c r="K410" s="1">
        <v>0</v>
      </c>
      <c r="L410" s="1">
        <v>0</v>
      </c>
      <c r="M410" s="6" t="s">
        <v>2784</v>
      </c>
      <c r="N410" s="1">
        <v>563</v>
      </c>
      <c r="O410" s="1">
        <v>563</v>
      </c>
      <c r="P410" t="s">
        <v>2778</v>
      </c>
      <c r="Q41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10" s="1" t="s">
        <v>2779</v>
      </c>
    </row>
    <row r="411" spans="1:18" x14ac:dyDescent="0.25">
      <c r="A411" t="s">
        <v>367</v>
      </c>
      <c r="B411" t="s">
        <v>368</v>
      </c>
      <c r="C411" s="1">
        <v>6470</v>
      </c>
      <c r="G411" s="1">
        <v>1</v>
      </c>
      <c r="H411" s="1">
        <v>1</v>
      </c>
      <c r="I411" s="1">
        <v>0</v>
      </c>
      <c r="J411" s="1">
        <v>7</v>
      </c>
      <c r="K411" s="1">
        <v>2198</v>
      </c>
      <c r="L411" s="1">
        <v>2205</v>
      </c>
      <c r="M411" s="6">
        <f>(Table2[[#This Row],[Grand Total of Lead Service Lines Replaced]]/(Table2[[#This Row],[Total to be identified or replaced]]+Table2[[#This Row],[Grand Total of Lead Service Lines Replaced]]))</f>
        <v>4.5330915684496827E-4</v>
      </c>
      <c r="N411" s="1">
        <v>344</v>
      </c>
      <c r="O411" s="1">
        <v>2549</v>
      </c>
      <c r="P411" t="s">
        <v>2778</v>
      </c>
      <c r="Q41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11" s="1" t="s">
        <v>2783</v>
      </c>
    </row>
    <row r="412" spans="1:18" x14ac:dyDescent="0.25">
      <c r="A412" t="s">
        <v>1306</v>
      </c>
      <c r="B412" t="s">
        <v>1307</v>
      </c>
      <c r="C412" s="1">
        <v>65</v>
      </c>
      <c r="I412" s="1">
        <v>0</v>
      </c>
      <c r="J412" s="1">
        <v>0</v>
      </c>
      <c r="K412" s="1">
        <v>0</v>
      </c>
      <c r="L412" s="1">
        <v>0</v>
      </c>
      <c r="M412" s="6" t="s">
        <v>2784</v>
      </c>
      <c r="N412" s="1">
        <v>4</v>
      </c>
      <c r="O412" s="1">
        <v>4</v>
      </c>
      <c r="P412" t="s">
        <v>2778</v>
      </c>
      <c r="Q41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12" s="1" t="s">
        <v>2779</v>
      </c>
    </row>
    <row r="413" spans="1:18" x14ac:dyDescent="0.25">
      <c r="A413" t="s">
        <v>1308</v>
      </c>
      <c r="B413" t="s">
        <v>1309</v>
      </c>
      <c r="C413" s="1">
        <v>3626</v>
      </c>
      <c r="I413" s="1">
        <v>0</v>
      </c>
      <c r="J413" s="1">
        <v>0</v>
      </c>
      <c r="K413" s="1">
        <v>0</v>
      </c>
      <c r="L413" s="1">
        <v>0</v>
      </c>
      <c r="M413" s="6" t="s">
        <v>2784</v>
      </c>
      <c r="N413" s="1">
        <v>1304</v>
      </c>
      <c r="O413" s="1">
        <v>1304</v>
      </c>
      <c r="P413" t="s">
        <v>2778</v>
      </c>
      <c r="Q41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13" s="1" t="s">
        <v>2779</v>
      </c>
    </row>
    <row r="414" spans="1:18" x14ac:dyDescent="0.25">
      <c r="A414" t="s">
        <v>1310</v>
      </c>
      <c r="B414" t="s">
        <v>1311</v>
      </c>
      <c r="C414" s="1">
        <v>1389</v>
      </c>
      <c r="I414" s="1">
        <v>0</v>
      </c>
      <c r="J414" s="1">
        <v>0</v>
      </c>
      <c r="K414" s="1">
        <v>0</v>
      </c>
      <c r="L414" s="1">
        <v>0</v>
      </c>
      <c r="M414" s="6" t="s">
        <v>2784</v>
      </c>
      <c r="N414" s="1">
        <v>493</v>
      </c>
      <c r="O414" s="1">
        <v>493</v>
      </c>
      <c r="P414" t="s">
        <v>2778</v>
      </c>
      <c r="Q41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14" s="1" t="s">
        <v>2779</v>
      </c>
    </row>
    <row r="415" spans="1:18" x14ac:dyDescent="0.25">
      <c r="A415" t="s">
        <v>1312</v>
      </c>
      <c r="B415" t="s">
        <v>1313</v>
      </c>
      <c r="C415" s="1">
        <v>4944</v>
      </c>
      <c r="L415" s="1">
        <v>0</v>
      </c>
      <c r="M415" s="6" t="s">
        <v>2784</v>
      </c>
      <c r="N415" s="1">
        <v>2117</v>
      </c>
      <c r="O415" s="1">
        <v>2117</v>
      </c>
      <c r="P415" t="s">
        <v>2778</v>
      </c>
      <c r="Q4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15" s="1" t="s">
        <v>2779</v>
      </c>
    </row>
    <row r="416" spans="1:18" x14ac:dyDescent="0.25">
      <c r="A416" t="s">
        <v>269</v>
      </c>
      <c r="B416" t="s">
        <v>270</v>
      </c>
      <c r="C416" s="1">
        <v>21688</v>
      </c>
      <c r="D416" s="1">
        <v>1</v>
      </c>
      <c r="E416" s="1">
        <v>1</v>
      </c>
      <c r="G416" s="1">
        <v>1</v>
      </c>
      <c r="H416" s="1">
        <v>3</v>
      </c>
      <c r="I416" s="1">
        <v>2</v>
      </c>
      <c r="J416" s="1">
        <v>20</v>
      </c>
      <c r="K416" s="1">
        <v>4807</v>
      </c>
      <c r="L416" s="1">
        <v>4829</v>
      </c>
      <c r="M416" s="6">
        <f>(Table2[[#This Row],[Grand Total of Lead Service Lines Replaced]]/(Table2[[#This Row],[Total to be identified or replaced]]+Table2[[#This Row],[Grand Total of Lead Service Lines Replaced]]))</f>
        <v>6.2086092715231791E-4</v>
      </c>
      <c r="N416" s="1">
        <v>710</v>
      </c>
      <c r="O416" s="1">
        <v>5539</v>
      </c>
      <c r="P416" t="s">
        <v>2778</v>
      </c>
      <c r="Q41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16" s="1" t="s">
        <v>2783</v>
      </c>
    </row>
    <row r="417" spans="1:18" x14ac:dyDescent="0.25">
      <c r="A417" t="s">
        <v>1316</v>
      </c>
      <c r="B417" t="s">
        <v>1317</v>
      </c>
      <c r="C417" s="1">
        <v>500</v>
      </c>
      <c r="I417" s="1">
        <v>0</v>
      </c>
      <c r="J417" s="1">
        <v>0</v>
      </c>
      <c r="K417" s="1">
        <v>0</v>
      </c>
      <c r="L417" s="1">
        <v>0</v>
      </c>
      <c r="M417" s="6" t="s">
        <v>2784</v>
      </c>
      <c r="N417" s="1">
        <v>157</v>
      </c>
      <c r="O417" s="1">
        <v>157</v>
      </c>
      <c r="P417" t="s">
        <v>2778</v>
      </c>
      <c r="Q41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17" s="1" t="s">
        <v>2779</v>
      </c>
    </row>
    <row r="418" spans="1:18" x14ac:dyDescent="0.25">
      <c r="A418" t="s">
        <v>1320</v>
      </c>
      <c r="B418" t="s">
        <v>1321</v>
      </c>
      <c r="C418" s="1">
        <v>300</v>
      </c>
      <c r="I418" s="1">
        <v>0</v>
      </c>
      <c r="J418" s="1">
        <v>0</v>
      </c>
      <c r="K418" s="1">
        <v>0</v>
      </c>
      <c r="L418" s="1">
        <v>0</v>
      </c>
      <c r="M418" s="6" t="s">
        <v>2784</v>
      </c>
      <c r="N418" s="1">
        <v>29</v>
      </c>
      <c r="O418" s="1">
        <v>29</v>
      </c>
      <c r="P418" t="s">
        <v>2778</v>
      </c>
      <c r="Q41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18" s="1" t="s">
        <v>2779</v>
      </c>
    </row>
    <row r="419" spans="1:18" x14ac:dyDescent="0.25">
      <c r="A419" t="s">
        <v>1322</v>
      </c>
      <c r="B419" t="s">
        <v>1323</v>
      </c>
      <c r="C419" s="1">
        <v>260</v>
      </c>
      <c r="I419" s="1">
        <v>0</v>
      </c>
      <c r="J419" s="1">
        <v>0</v>
      </c>
      <c r="K419" s="1">
        <v>0</v>
      </c>
      <c r="L419" s="1">
        <v>0</v>
      </c>
      <c r="M419" s="6" t="s">
        <v>2784</v>
      </c>
      <c r="N419" s="1">
        <v>43</v>
      </c>
      <c r="O419" s="1">
        <v>43</v>
      </c>
      <c r="P419" t="s">
        <v>2778</v>
      </c>
      <c r="Q41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19" s="1" t="s">
        <v>2779</v>
      </c>
    </row>
    <row r="420" spans="1:18" x14ac:dyDescent="0.25">
      <c r="A420" t="s">
        <v>1324</v>
      </c>
      <c r="B420" t="s">
        <v>1325</v>
      </c>
      <c r="C420" s="1">
        <v>1226</v>
      </c>
      <c r="I420" s="1">
        <v>0</v>
      </c>
      <c r="J420" s="1">
        <v>0</v>
      </c>
      <c r="K420" s="1">
        <v>0</v>
      </c>
      <c r="L420" s="1">
        <v>0</v>
      </c>
      <c r="M420" s="6" t="s">
        <v>2784</v>
      </c>
      <c r="N420" s="1">
        <v>537</v>
      </c>
      <c r="O420" s="1">
        <v>537</v>
      </c>
      <c r="P420" t="s">
        <v>2778</v>
      </c>
      <c r="Q42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20" s="1" t="s">
        <v>2779</v>
      </c>
    </row>
    <row r="421" spans="1:18" x14ac:dyDescent="0.25">
      <c r="A421" t="s">
        <v>143</v>
      </c>
      <c r="B421" t="s">
        <v>144</v>
      </c>
      <c r="C421" s="1">
        <v>84094</v>
      </c>
      <c r="D421" s="1">
        <v>7</v>
      </c>
      <c r="F421" s="1">
        <v>2</v>
      </c>
      <c r="G421" s="1">
        <v>2</v>
      </c>
      <c r="H421" s="1">
        <v>11</v>
      </c>
      <c r="I421" s="1">
        <v>0</v>
      </c>
      <c r="J421" s="1">
        <v>166</v>
      </c>
      <c r="K421" s="1">
        <v>13193</v>
      </c>
      <c r="L421" s="1">
        <v>13359</v>
      </c>
      <c r="M421" s="6">
        <f>(Table2[[#This Row],[Grand Total of Lead Service Lines Replaced]]/(Table2[[#This Row],[Total to be identified or replaced]]+Table2[[#This Row],[Grand Total of Lead Service Lines Replaced]]))</f>
        <v>8.227374719521316E-4</v>
      </c>
      <c r="N421" s="1">
        <v>15095</v>
      </c>
      <c r="O421" s="1">
        <v>28454</v>
      </c>
      <c r="P421" t="s">
        <v>2778</v>
      </c>
      <c r="Q42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21" s="1" t="s">
        <v>2783</v>
      </c>
    </row>
    <row r="422" spans="1:18" x14ac:dyDescent="0.25">
      <c r="A422" t="s">
        <v>1326</v>
      </c>
      <c r="B422" t="s">
        <v>1327</v>
      </c>
      <c r="C422" s="1">
        <v>280</v>
      </c>
      <c r="I422" s="1">
        <v>0</v>
      </c>
      <c r="J422" s="1">
        <v>0</v>
      </c>
      <c r="K422" s="1">
        <v>0</v>
      </c>
      <c r="L422" s="1">
        <v>0</v>
      </c>
      <c r="M422" s="6" t="s">
        <v>2784</v>
      </c>
      <c r="N422" s="1">
        <v>120</v>
      </c>
      <c r="O422" s="1">
        <v>120</v>
      </c>
      <c r="P422" t="s">
        <v>2778</v>
      </c>
      <c r="Q42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22" s="1" t="s">
        <v>2779</v>
      </c>
    </row>
    <row r="423" spans="1:18" x14ac:dyDescent="0.25">
      <c r="A423" t="s">
        <v>455</v>
      </c>
      <c r="B423" t="s">
        <v>456</v>
      </c>
      <c r="C423" s="1">
        <v>9158</v>
      </c>
      <c r="F423" s="1">
        <v>1</v>
      </c>
      <c r="G423" s="1">
        <v>1</v>
      </c>
      <c r="H423" s="1">
        <v>2</v>
      </c>
      <c r="I423" s="1">
        <v>43</v>
      </c>
      <c r="J423" s="1">
        <v>0</v>
      </c>
      <c r="K423" s="1">
        <v>1468</v>
      </c>
      <c r="L423" s="1">
        <v>1511</v>
      </c>
      <c r="M423" s="6">
        <f>(Table2[[#This Row],[Grand Total of Lead Service Lines Replaced]]/(Table2[[#This Row],[Total to be identified or replaced]]+Table2[[#This Row],[Grand Total of Lead Service Lines Replaced]]))</f>
        <v>1.3218770654329147E-3</v>
      </c>
      <c r="N423" s="1">
        <v>1629</v>
      </c>
      <c r="O423" s="1">
        <v>3140</v>
      </c>
      <c r="P423" t="s">
        <v>2778</v>
      </c>
      <c r="Q42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23" s="1" t="s">
        <v>2783</v>
      </c>
    </row>
    <row r="424" spans="1:18" x14ac:dyDescent="0.25">
      <c r="A424" t="s">
        <v>515</v>
      </c>
      <c r="B424" t="s">
        <v>516</v>
      </c>
      <c r="C424" s="1">
        <v>42547</v>
      </c>
      <c r="F424" s="1">
        <v>2</v>
      </c>
      <c r="H424" s="1">
        <v>2</v>
      </c>
      <c r="I424" s="1">
        <v>0</v>
      </c>
      <c r="J424" s="1">
        <v>76</v>
      </c>
      <c r="K424" s="1">
        <v>1070</v>
      </c>
      <c r="L424" s="1">
        <v>1146</v>
      </c>
      <c r="M424" s="6">
        <f>(Table2[[#This Row],[Grand Total of Lead Service Lines Replaced]]/(Table2[[#This Row],[Total to be identified or replaced]]+Table2[[#This Row],[Grand Total of Lead Service Lines Replaced]]))</f>
        <v>1.7421602787456446E-3</v>
      </c>
      <c r="N424" s="1">
        <v>15296</v>
      </c>
      <c r="O424" s="1">
        <v>16442</v>
      </c>
      <c r="P424" t="s">
        <v>2778</v>
      </c>
      <c r="Q42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24" s="1" t="s">
        <v>2783</v>
      </c>
    </row>
    <row r="425" spans="1:18" x14ac:dyDescent="0.25">
      <c r="A425" t="s">
        <v>1336</v>
      </c>
      <c r="B425" t="s">
        <v>1337</v>
      </c>
      <c r="C425" s="1">
        <v>16481</v>
      </c>
      <c r="I425" s="1">
        <v>0</v>
      </c>
      <c r="J425" s="1">
        <v>0</v>
      </c>
      <c r="K425" s="1">
        <v>0</v>
      </c>
      <c r="L425" s="1">
        <v>0</v>
      </c>
      <c r="M425" s="6" t="s">
        <v>2784</v>
      </c>
      <c r="N425" s="1">
        <v>6534</v>
      </c>
      <c r="O425" s="1">
        <v>6534</v>
      </c>
      <c r="P425" t="s">
        <v>2778</v>
      </c>
      <c r="Q42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25" s="1" t="s">
        <v>2779</v>
      </c>
    </row>
    <row r="426" spans="1:18" x14ac:dyDescent="0.25">
      <c r="A426" t="s">
        <v>1338</v>
      </c>
      <c r="B426" t="s">
        <v>1339</v>
      </c>
      <c r="C426" s="1">
        <v>9355</v>
      </c>
      <c r="I426" s="1">
        <v>0</v>
      </c>
      <c r="J426" s="1">
        <v>0</v>
      </c>
      <c r="K426" s="1">
        <v>0</v>
      </c>
      <c r="L426" s="1">
        <v>0</v>
      </c>
      <c r="M426" s="6" t="s">
        <v>2784</v>
      </c>
      <c r="N426" s="1">
        <v>4721</v>
      </c>
      <c r="O426" s="1">
        <v>4721</v>
      </c>
      <c r="P426" t="s">
        <v>2778</v>
      </c>
      <c r="Q42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26" s="1" t="s">
        <v>2779</v>
      </c>
    </row>
    <row r="427" spans="1:18" x14ac:dyDescent="0.25">
      <c r="A427" t="s">
        <v>721</v>
      </c>
      <c r="B427" t="s">
        <v>722</v>
      </c>
      <c r="C427" s="1">
        <v>11055</v>
      </c>
      <c r="G427" s="1">
        <v>1</v>
      </c>
      <c r="H427" s="1">
        <v>1</v>
      </c>
      <c r="I427" s="1">
        <v>2</v>
      </c>
      <c r="J427" s="1">
        <v>38</v>
      </c>
      <c r="K427" s="1">
        <v>457</v>
      </c>
      <c r="L427" s="1">
        <v>497</v>
      </c>
      <c r="M427" s="6">
        <f>(Table2[[#This Row],[Grand Total of Lead Service Lines Replaced]]/(Table2[[#This Row],[Total to be identified or replaced]]+Table2[[#This Row],[Grand Total of Lead Service Lines Replaced]]))</f>
        <v>2.008032128514056E-3</v>
      </c>
      <c r="N427" s="1">
        <v>3233</v>
      </c>
      <c r="O427" s="1">
        <v>3730</v>
      </c>
      <c r="P427" t="s">
        <v>2778</v>
      </c>
      <c r="Q42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27" s="1" t="s">
        <v>2783</v>
      </c>
    </row>
    <row r="428" spans="1:18" x14ac:dyDescent="0.25">
      <c r="A428" t="s">
        <v>749</v>
      </c>
      <c r="B428" t="s">
        <v>750</v>
      </c>
      <c r="C428" s="1">
        <v>5847</v>
      </c>
      <c r="G428" s="1">
        <v>1</v>
      </c>
      <c r="H428" s="1">
        <v>1</v>
      </c>
      <c r="I428" s="1">
        <v>0</v>
      </c>
      <c r="J428" s="1">
        <v>20</v>
      </c>
      <c r="K428" s="1">
        <v>452</v>
      </c>
      <c r="L428" s="1">
        <v>472</v>
      </c>
      <c r="M428" s="6">
        <f>(Table2[[#This Row],[Grand Total of Lead Service Lines Replaced]]/(Table2[[#This Row],[Total to be identified or replaced]]+Table2[[#This Row],[Grand Total of Lead Service Lines Replaced]]))</f>
        <v>2.1141649048625794E-3</v>
      </c>
      <c r="N428" s="1">
        <v>1364</v>
      </c>
      <c r="O428" s="1">
        <v>1836</v>
      </c>
      <c r="P428" t="s">
        <v>2778</v>
      </c>
      <c r="Q42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28" s="1" t="s">
        <v>2783</v>
      </c>
    </row>
    <row r="429" spans="1:18" x14ac:dyDescent="0.25">
      <c r="A429" t="s">
        <v>803</v>
      </c>
      <c r="B429" t="s">
        <v>804</v>
      </c>
      <c r="C429" s="1">
        <v>5733</v>
      </c>
      <c r="G429" s="1">
        <v>1</v>
      </c>
      <c r="H429" s="1">
        <v>1</v>
      </c>
      <c r="I429" s="1">
        <v>0</v>
      </c>
      <c r="J429" s="1">
        <v>81</v>
      </c>
      <c r="K429" s="1">
        <v>323</v>
      </c>
      <c r="L429" s="1">
        <v>404</v>
      </c>
      <c r="M429" s="6">
        <f>(Table2[[#This Row],[Grand Total of Lead Service Lines Replaced]]/(Table2[[#This Row],[Total to be identified or replaced]]+Table2[[#This Row],[Grand Total of Lead Service Lines Replaced]]))</f>
        <v>2.4691358024691358E-3</v>
      </c>
      <c r="N429" s="1">
        <v>2204</v>
      </c>
      <c r="O429" s="1">
        <v>2608</v>
      </c>
      <c r="P429" t="s">
        <v>2778</v>
      </c>
      <c r="Q42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29" s="1" t="s">
        <v>2783</v>
      </c>
    </row>
    <row r="430" spans="1:18" x14ac:dyDescent="0.25">
      <c r="A430" t="s">
        <v>85</v>
      </c>
      <c r="B430" t="s">
        <v>86</v>
      </c>
      <c r="C430" s="1">
        <v>4110</v>
      </c>
      <c r="E430" s="1">
        <v>1</v>
      </c>
      <c r="F430" s="1">
        <v>2</v>
      </c>
      <c r="H430" s="1">
        <v>3</v>
      </c>
      <c r="I430" s="1">
        <v>0</v>
      </c>
      <c r="J430" s="1">
        <v>29</v>
      </c>
      <c r="K430" s="1">
        <v>1059</v>
      </c>
      <c r="L430" s="1">
        <v>1088</v>
      </c>
      <c r="M430" s="6">
        <f>(Table2[[#This Row],[Grand Total of Lead Service Lines Replaced]]/(Table2[[#This Row],[Total to be identified or replaced]]+Table2[[#This Row],[Grand Total of Lead Service Lines Replaced]]))</f>
        <v>2.7497708524289641E-3</v>
      </c>
      <c r="N430" s="1">
        <v>739</v>
      </c>
      <c r="O430" s="1">
        <v>1827</v>
      </c>
      <c r="P430" t="s">
        <v>2778</v>
      </c>
      <c r="Q43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30" s="1" t="s">
        <v>2783</v>
      </c>
    </row>
    <row r="431" spans="1:18" x14ac:dyDescent="0.25">
      <c r="A431" t="s">
        <v>1831</v>
      </c>
      <c r="B431" t="s">
        <v>1832</v>
      </c>
      <c r="C431" s="1">
        <v>1045</v>
      </c>
      <c r="D431" s="1">
        <v>1</v>
      </c>
      <c r="G431" s="1">
        <v>1</v>
      </c>
      <c r="H431" s="1">
        <v>2</v>
      </c>
      <c r="L431" s="1">
        <v>0</v>
      </c>
      <c r="M431" s="6">
        <f>(Table2[[#This Row],[Grand Total of Lead Service Lines Replaced]]/(Table2[[#This Row],[Total to be identified or replaced]]+Table2[[#This Row],[Grand Total of Lead Service Lines Replaced]]))</f>
        <v>1</v>
      </c>
      <c r="N431" s="1">
        <v>391</v>
      </c>
      <c r="O431" s="1">
        <v>391</v>
      </c>
      <c r="P431">
        <v>2020</v>
      </c>
      <c r="Q431" t="s">
        <v>2785</v>
      </c>
      <c r="R431" s="7" t="s">
        <v>2786</v>
      </c>
    </row>
    <row r="432" spans="1:18" x14ac:dyDescent="0.25">
      <c r="A432" t="s">
        <v>1352</v>
      </c>
      <c r="B432" t="s">
        <v>1353</v>
      </c>
      <c r="C432" s="1">
        <v>12899</v>
      </c>
      <c r="L432" s="1">
        <v>0</v>
      </c>
      <c r="M432" s="6" t="s">
        <v>2784</v>
      </c>
      <c r="N432" s="1">
        <v>3101</v>
      </c>
      <c r="O432" s="1">
        <v>3101</v>
      </c>
      <c r="P432" t="s">
        <v>2778</v>
      </c>
      <c r="Q4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32" s="1" t="s">
        <v>2779</v>
      </c>
    </row>
    <row r="433" spans="1:18" x14ac:dyDescent="0.25">
      <c r="A433" t="s">
        <v>1356</v>
      </c>
      <c r="B433" t="s">
        <v>1357</v>
      </c>
      <c r="C433" s="1">
        <v>40</v>
      </c>
      <c r="I433" s="1">
        <v>0</v>
      </c>
      <c r="J433" s="1">
        <v>0</v>
      </c>
      <c r="K433" s="1">
        <v>0</v>
      </c>
      <c r="L433" s="1">
        <v>0</v>
      </c>
      <c r="M433" s="6" t="s">
        <v>2784</v>
      </c>
      <c r="N433" s="1">
        <v>26</v>
      </c>
      <c r="O433" s="1">
        <v>26</v>
      </c>
      <c r="P433" t="s">
        <v>2778</v>
      </c>
      <c r="Q43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33" s="1" t="s">
        <v>2779</v>
      </c>
    </row>
    <row r="434" spans="1:18" x14ac:dyDescent="0.25">
      <c r="A434" t="s">
        <v>1358</v>
      </c>
      <c r="B434" t="s">
        <v>1359</v>
      </c>
      <c r="C434" s="1">
        <v>53</v>
      </c>
      <c r="I434" s="1">
        <v>0</v>
      </c>
      <c r="J434" s="1">
        <v>0</v>
      </c>
      <c r="K434" s="1">
        <v>0</v>
      </c>
      <c r="L434" s="1">
        <v>0</v>
      </c>
      <c r="M434" s="6" t="s">
        <v>2784</v>
      </c>
      <c r="N434" s="1">
        <v>7</v>
      </c>
      <c r="O434" s="1">
        <v>7</v>
      </c>
      <c r="P434" t="s">
        <v>2778</v>
      </c>
      <c r="Q43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34" s="1" t="s">
        <v>2779</v>
      </c>
    </row>
    <row r="435" spans="1:18" x14ac:dyDescent="0.25">
      <c r="A435" t="s">
        <v>835</v>
      </c>
      <c r="B435" t="s">
        <v>836</v>
      </c>
      <c r="C435" s="1">
        <v>1202</v>
      </c>
      <c r="D435" s="1">
        <v>1</v>
      </c>
      <c r="H435" s="1">
        <v>1</v>
      </c>
      <c r="I435" s="1">
        <v>354</v>
      </c>
      <c r="J435" s="1">
        <v>4</v>
      </c>
      <c r="K435" s="1">
        <v>0</v>
      </c>
      <c r="L435" s="1">
        <v>358</v>
      </c>
      <c r="M435" s="6">
        <f>(Table2[[#This Row],[Grand Total of Lead Service Lines Replaced]]/(Table2[[#This Row],[Total to be identified or replaced]]+Table2[[#This Row],[Grand Total of Lead Service Lines Replaced]]))</f>
        <v>2.7855153203342618E-3</v>
      </c>
      <c r="N435" s="1">
        <v>168</v>
      </c>
      <c r="O435" s="1">
        <v>526</v>
      </c>
      <c r="P435" t="s">
        <v>2778</v>
      </c>
      <c r="Q43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35" s="1" t="s">
        <v>2783</v>
      </c>
    </row>
    <row r="436" spans="1:18" x14ac:dyDescent="0.25">
      <c r="A436" t="s">
        <v>1360</v>
      </c>
      <c r="B436" t="s">
        <v>1361</v>
      </c>
      <c r="C436" s="1">
        <v>50</v>
      </c>
      <c r="I436" s="1">
        <v>0</v>
      </c>
      <c r="J436" s="1">
        <v>0</v>
      </c>
      <c r="K436" s="1">
        <v>0</v>
      </c>
      <c r="L436" s="1">
        <v>0</v>
      </c>
      <c r="M436" s="6" t="s">
        <v>2784</v>
      </c>
      <c r="N436" s="1">
        <v>2</v>
      </c>
      <c r="O436" s="1">
        <v>2</v>
      </c>
      <c r="P436" t="s">
        <v>2778</v>
      </c>
      <c r="Q43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36" s="1" t="s">
        <v>2779</v>
      </c>
    </row>
    <row r="437" spans="1:18" x14ac:dyDescent="0.25">
      <c r="A437" t="s">
        <v>1362</v>
      </c>
      <c r="B437" t="s">
        <v>1363</v>
      </c>
      <c r="C437" s="1">
        <v>71500</v>
      </c>
      <c r="I437" s="1">
        <v>0</v>
      </c>
      <c r="J437" s="1">
        <v>0</v>
      </c>
      <c r="K437" s="1">
        <v>0</v>
      </c>
      <c r="L437" s="1">
        <v>0</v>
      </c>
      <c r="M437" s="6" t="s">
        <v>2784</v>
      </c>
      <c r="N437" s="1">
        <v>18693</v>
      </c>
      <c r="O437" s="1">
        <v>18693</v>
      </c>
      <c r="P437" t="s">
        <v>2778</v>
      </c>
      <c r="Q43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37" s="1" t="s">
        <v>2779</v>
      </c>
    </row>
    <row r="438" spans="1:18" x14ac:dyDescent="0.25">
      <c r="A438" t="s">
        <v>1364</v>
      </c>
      <c r="B438" t="s">
        <v>1365</v>
      </c>
      <c r="C438" s="1">
        <v>8473</v>
      </c>
      <c r="L438" s="1">
        <v>0</v>
      </c>
      <c r="M438" s="6" t="s">
        <v>2784</v>
      </c>
      <c r="N438" s="1">
        <v>1912</v>
      </c>
      <c r="O438" s="1">
        <v>1912</v>
      </c>
      <c r="P438" t="s">
        <v>2778</v>
      </c>
      <c r="Q43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38" s="1" t="s">
        <v>2779</v>
      </c>
    </row>
    <row r="439" spans="1:18" x14ac:dyDescent="0.25">
      <c r="A439" t="s">
        <v>1366</v>
      </c>
      <c r="B439" t="s">
        <v>1367</v>
      </c>
      <c r="C439" s="1">
        <v>41086</v>
      </c>
      <c r="I439" s="1">
        <v>0</v>
      </c>
      <c r="J439" s="1">
        <v>0</v>
      </c>
      <c r="K439" s="1">
        <v>0</v>
      </c>
      <c r="L439" s="1">
        <v>0</v>
      </c>
      <c r="M439" s="6" t="s">
        <v>2784</v>
      </c>
      <c r="N439" s="1">
        <v>15416</v>
      </c>
      <c r="O439" s="1">
        <v>15416</v>
      </c>
      <c r="P439" t="s">
        <v>2778</v>
      </c>
      <c r="Q4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39" s="1" t="s">
        <v>2779</v>
      </c>
    </row>
    <row r="440" spans="1:18" x14ac:dyDescent="0.25">
      <c r="A440" t="s">
        <v>1368</v>
      </c>
      <c r="B440" t="s">
        <v>1369</v>
      </c>
      <c r="C440" s="1">
        <v>200</v>
      </c>
      <c r="I440" s="1">
        <v>0</v>
      </c>
      <c r="J440" s="1">
        <v>0</v>
      </c>
      <c r="K440" s="1">
        <v>0</v>
      </c>
      <c r="L440" s="1">
        <v>0</v>
      </c>
      <c r="M440" s="6" t="s">
        <v>2784</v>
      </c>
      <c r="N440" s="1">
        <v>86</v>
      </c>
      <c r="O440" s="1">
        <v>86</v>
      </c>
      <c r="P440" t="s">
        <v>2778</v>
      </c>
      <c r="Q4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40" s="1" t="s">
        <v>2779</v>
      </c>
    </row>
    <row r="441" spans="1:18" x14ac:dyDescent="0.25">
      <c r="A441" t="s">
        <v>119</v>
      </c>
      <c r="B441" t="s">
        <v>120</v>
      </c>
      <c r="C441" s="1">
        <v>96942</v>
      </c>
      <c r="D441" s="1">
        <v>20</v>
      </c>
      <c r="E441" s="1">
        <v>20</v>
      </c>
      <c r="F441" s="1">
        <v>16</v>
      </c>
      <c r="G441" s="1">
        <v>32</v>
      </c>
      <c r="H441" s="1">
        <v>88</v>
      </c>
      <c r="I441" s="1">
        <v>134</v>
      </c>
      <c r="J441" s="1">
        <v>31</v>
      </c>
      <c r="K441" s="1">
        <v>29973</v>
      </c>
      <c r="L441" s="1">
        <v>30138</v>
      </c>
      <c r="M441" s="6">
        <f>(Table2[[#This Row],[Grand Total of Lead Service Lines Replaced]]/(Table2[[#This Row],[Total to be identified or replaced]]+Table2[[#This Row],[Grand Total of Lead Service Lines Replaced]]))</f>
        <v>2.9114007807847547E-3</v>
      </c>
      <c r="N441" s="1">
        <v>8069</v>
      </c>
      <c r="O441" s="1">
        <v>38207</v>
      </c>
      <c r="P441">
        <v>2024</v>
      </c>
      <c r="Q44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41" s="1" t="s">
        <v>2783</v>
      </c>
    </row>
    <row r="442" spans="1:18" x14ac:dyDescent="0.25">
      <c r="A442" t="s">
        <v>719</v>
      </c>
      <c r="B442" t="s">
        <v>720</v>
      </c>
      <c r="C442" s="1">
        <v>3322</v>
      </c>
      <c r="G442" s="1">
        <v>1</v>
      </c>
      <c r="H442" s="1">
        <v>1</v>
      </c>
      <c r="I442" s="1">
        <v>33</v>
      </c>
      <c r="J442" s="1">
        <v>85</v>
      </c>
      <c r="K442" s="1">
        <v>213</v>
      </c>
      <c r="L442" s="1">
        <v>331</v>
      </c>
      <c r="M442" s="6">
        <f>(Table2[[#This Row],[Grand Total of Lead Service Lines Replaced]]/(Table2[[#This Row],[Total to be identified or replaced]]+Table2[[#This Row],[Grand Total of Lead Service Lines Replaced]]))</f>
        <v>3.0120481927710845E-3</v>
      </c>
      <c r="N442" s="1">
        <v>201</v>
      </c>
      <c r="O442" s="1">
        <v>532</v>
      </c>
      <c r="P442" t="s">
        <v>2778</v>
      </c>
      <c r="Q44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42" s="1" t="s">
        <v>2783</v>
      </c>
    </row>
    <row r="443" spans="1:18" x14ac:dyDescent="0.25">
      <c r="A443" t="s">
        <v>1374</v>
      </c>
      <c r="B443" t="s">
        <v>1375</v>
      </c>
      <c r="C443" s="1">
        <v>60</v>
      </c>
      <c r="I443" s="1">
        <v>0</v>
      </c>
      <c r="J443" s="1">
        <v>0</v>
      </c>
      <c r="K443" s="1">
        <v>0</v>
      </c>
      <c r="L443" s="1">
        <v>0</v>
      </c>
      <c r="M443" s="6" t="s">
        <v>2784</v>
      </c>
      <c r="N443" s="1">
        <v>2</v>
      </c>
      <c r="O443" s="1">
        <v>2</v>
      </c>
      <c r="P443" t="s">
        <v>2778</v>
      </c>
      <c r="Q4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43" s="1" t="s">
        <v>2779</v>
      </c>
    </row>
    <row r="444" spans="1:18" x14ac:dyDescent="0.25">
      <c r="A444" t="s">
        <v>499</v>
      </c>
      <c r="B444" t="s">
        <v>500</v>
      </c>
      <c r="C444" s="1">
        <v>29654</v>
      </c>
      <c r="D444" s="1">
        <v>1</v>
      </c>
      <c r="E444" s="1">
        <v>1</v>
      </c>
      <c r="F444" s="1">
        <v>1</v>
      </c>
      <c r="G444" s="1">
        <v>1</v>
      </c>
      <c r="H444" s="1">
        <v>4</v>
      </c>
      <c r="I444" s="1">
        <v>0</v>
      </c>
      <c r="J444" s="1">
        <v>0</v>
      </c>
      <c r="K444" s="1">
        <v>1243</v>
      </c>
      <c r="L444" s="1">
        <v>1243</v>
      </c>
      <c r="M444" s="6">
        <f>(Table2[[#This Row],[Grand Total of Lead Service Lines Replaced]]/(Table2[[#This Row],[Total to be identified or replaced]]+Table2[[#This Row],[Grand Total of Lead Service Lines Replaced]]))</f>
        <v>3.2076984763432237E-3</v>
      </c>
      <c r="N444" s="1">
        <v>9601</v>
      </c>
      <c r="O444" s="1">
        <v>10844</v>
      </c>
      <c r="P444">
        <v>2019</v>
      </c>
      <c r="Q44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44" s="1" t="s">
        <v>2783</v>
      </c>
    </row>
    <row r="445" spans="1:18" x14ac:dyDescent="0.25">
      <c r="A445" t="s">
        <v>1378</v>
      </c>
      <c r="B445" t="s">
        <v>1379</v>
      </c>
      <c r="C445" s="1">
        <v>260</v>
      </c>
      <c r="I445" s="1">
        <v>0</v>
      </c>
      <c r="J445" s="1">
        <v>0</v>
      </c>
      <c r="K445" s="1">
        <v>0</v>
      </c>
      <c r="L445" s="1">
        <v>0</v>
      </c>
      <c r="M445" s="6" t="s">
        <v>2784</v>
      </c>
      <c r="N445" s="1">
        <v>20</v>
      </c>
      <c r="O445" s="1">
        <v>20</v>
      </c>
      <c r="P445" t="s">
        <v>2778</v>
      </c>
      <c r="Q4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45" s="1" t="s">
        <v>2779</v>
      </c>
    </row>
    <row r="446" spans="1:18" x14ac:dyDescent="0.25">
      <c r="A446" t="s">
        <v>1380</v>
      </c>
      <c r="B446" t="s">
        <v>1381</v>
      </c>
      <c r="C446" s="1">
        <v>142</v>
      </c>
      <c r="I446" s="1">
        <v>0</v>
      </c>
      <c r="J446" s="1">
        <v>0</v>
      </c>
      <c r="K446" s="1">
        <v>0</v>
      </c>
      <c r="L446" s="1">
        <v>0</v>
      </c>
      <c r="M446" s="6" t="s">
        <v>2784</v>
      </c>
      <c r="N446" s="1">
        <v>71</v>
      </c>
      <c r="O446" s="1">
        <v>71</v>
      </c>
      <c r="P446" t="s">
        <v>2778</v>
      </c>
      <c r="Q44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46" s="1" t="s">
        <v>2779</v>
      </c>
    </row>
    <row r="447" spans="1:18" x14ac:dyDescent="0.25">
      <c r="A447" t="s">
        <v>1382</v>
      </c>
      <c r="B447" t="s">
        <v>1383</v>
      </c>
      <c r="C447" s="1">
        <v>1233</v>
      </c>
      <c r="L447" s="1">
        <v>0</v>
      </c>
      <c r="M447" s="6" t="s">
        <v>2784</v>
      </c>
      <c r="N447" s="1">
        <v>2</v>
      </c>
      <c r="O447" s="1">
        <v>2</v>
      </c>
      <c r="P447" t="s">
        <v>2778</v>
      </c>
      <c r="Q44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47" s="1" t="s">
        <v>2779</v>
      </c>
    </row>
    <row r="448" spans="1:18" x14ac:dyDescent="0.25">
      <c r="A448" t="s">
        <v>1384</v>
      </c>
      <c r="B448" t="s">
        <v>1385</v>
      </c>
      <c r="C448" s="1">
        <v>100</v>
      </c>
      <c r="I448" s="1">
        <v>0</v>
      </c>
      <c r="J448" s="1">
        <v>0</v>
      </c>
      <c r="K448" s="1">
        <v>0</v>
      </c>
      <c r="L448" s="1">
        <v>0</v>
      </c>
      <c r="M448" s="6" t="s">
        <v>2784</v>
      </c>
      <c r="N448" s="1">
        <v>57</v>
      </c>
      <c r="O448" s="1">
        <v>57</v>
      </c>
      <c r="P448" t="s">
        <v>2778</v>
      </c>
      <c r="Q44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48" s="1" t="s">
        <v>2779</v>
      </c>
    </row>
    <row r="449" spans="1:18" x14ac:dyDescent="0.25">
      <c r="A449" t="s">
        <v>691</v>
      </c>
      <c r="B449" t="s">
        <v>692</v>
      </c>
      <c r="C449" s="1">
        <v>1815</v>
      </c>
      <c r="D449" s="1">
        <v>2</v>
      </c>
      <c r="H449" s="1">
        <v>2</v>
      </c>
      <c r="I449" s="1">
        <v>274</v>
      </c>
      <c r="J449" s="1">
        <v>286</v>
      </c>
      <c r="K449" s="1">
        <v>1</v>
      </c>
      <c r="L449" s="1">
        <v>561</v>
      </c>
      <c r="M449" s="6">
        <f>(Table2[[#This Row],[Grand Total of Lead Service Lines Replaced]]/(Table2[[#This Row],[Total to be identified or replaced]]+Table2[[#This Row],[Grand Total of Lead Service Lines Replaced]]))</f>
        <v>3.552397868561279E-3</v>
      </c>
      <c r="N449" s="1">
        <v>210</v>
      </c>
      <c r="O449" s="1">
        <v>771</v>
      </c>
      <c r="P449" t="s">
        <v>2778</v>
      </c>
      <c r="Q44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49" s="1" t="s">
        <v>2783</v>
      </c>
    </row>
    <row r="450" spans="1:18" x14ac:dyDescent="0.25">
      <c r="A450" t="s">
        <v>541</v>
      </c>
      <c r="B450" t="s">
        <v>542</v>
      </c>
      <c r="C450" s="1">
        <v>2697</v>
      </c>
      <c r="G450" s="1">
        <v>4</v>
      </c>
      <c r="H450" s="1">
        <v>4</v>
      </c>
      <c r="I450" s="1">
        <v>58</v>
      </c>
      <c r="J450" s="1">
        <v>1001</v>
      </c>
      <c r="L450" s="1">
        <v>1059</v>
      </c>
      <c r="M450" s="6">
        <f>(Table2[[#This Row],[Grand Total of Lead Service Lines Replaced]]/(Table2[[#This Row],[Total to be identified or replaced]]+Table2[[#This Row],[Grand Total of Lead Service Lines Replaced]]))</f>
        <v>3.7629350893697085E-3</v>
      </c>
      <c r="O450" s="1">
        <v>1059</v>
      </c>
      <c r="P450" t="s">
        <v>2778</v>
      </c>
      <c r="Q45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50" s="1" t="s">
        <v>2783</v>
      </c>
    </row>
    <row r="451" spans="1:18" x14ac:dyDescent="0.25">
      <c r="A451" t="s">
        <v>1392</v>
      </c>
      <c r="B451" t="s">
        <v>1393</v>
      </c>
      <c r="C451" s="1">
        <v>725</v>
      </c>
      <c r="D451" s="1">
        <v>2</v>
      </c>
      <c r="H451" s="1">
        <v>2</v>
      </c>
      <c r="I451" s="1">
        <v>0</v>
      </c>
      <c r="J451" s="1">
        <v>0</v>
      </c>
      <c r="K451" s="1">
        <v>0</v>
      </c>
      <c r="L451" s="1">
        <v>0</v>
      </c>
      <c r="M451" s="6">
        <f>(Table2[[#This Row],[Grand Total of Lead Service Lines Replaced]]/(Table2[[#This Row],[Total to be identified or replaced]]+Table2[[#This Row],[Grand Total of Lead Service Lines Replaced]]))</f>
        <v>1</v>
      </c>
      <c r="N451" s="1">
        <v>294</v>
      </c>
      <c r="O451" s="1">
        <v>294</v>
      </c>
      <c r="P451" t="s">
        <v>2778</v>
      </c>
      <c r="Q451" t="s">
        <v>2785</v>
      </c>
      <c r="R451" s="7" t="s">
        <v>2786</v>
      </c>
    </row>
    <row r="452" spans="1:18" x14ac:dyDescent="0.25">
      <c r="A452" t="s">
        <v>1396</v>
      </c>
      <c r="B452" t="s">
        <v>1397</v>
      </c>
      <c r="C452" s="1">
        <v>177</v>
      </c>
      <c r="I452" s="1">
        <v>0</v>
      </c>
      <c r="J452" s="1">
        <v>0</v>
      </c>
      <c r="K452" s="1">
        <v>0</v>
      </c>
      <c r="L452" s="1">
        <v>0</v>
      </c>
      <c r="M452" s="6" t="s">
        <v>2784</v>
      </c>
      <c r="N452" s="1">
        <v>76</v>
      </c>
      <c r="O452" s="1">
        <v>76</v>
      </c>
      <c r="P452" t="s">
        <v>2778</v>
      </c>
      <c r="Q4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52" s="1" t="s">
        <v>2779</v>
      </c>
    </row>
    <row r="453" spans="1:18" x14ac:dyDescent="0.25">
      <c r="A453" t="s">
        <v>1398</v>
      </c>
      <c r="B453" t="s">
        <v>1399</v>
      </c>
      <c r="C453" s="1">
        <v>102</v>
      </c>
      <c r="L453" s="1">
        <v>0</v>
      </c>
      <c r="M453" s="6" t="s">
        <v>2784</v>
      </c>
      <c r="N453" s="1">
        <v>40</v>
      </c>
      <c r="O453" s="1">
        <v>40</v>
      </c>
      <c r="P453" t="s">
        <v>2778</v>
      </c>
      <c r="Q4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53" s="1" t="s">
        <v>2779</v>
      </c>
    </row>
    <row r="454" spans="1:18" x14ac:dyDescent="0.25">
      <c r="A454" t="s">
        <v>1400</v>
      </c>
      <c r="B454" t="s">
        <v>1401</v>
      </c>
      <c r="C454" s="1">
        <v>272</v>
      </c>
      <c r="I454" s="1">
        <v>0</v>
      </c>
      <c r="J454" s="1">
        <v>0</v>
      </c>
      <c r="K454" s="1">
        <v>0</v>
      </c>
      <c r="L454" s="1">
        <v>0</v>
      </c>
      <c r="M454" s="6" t="s">
        <v>2784</v>
      </c>
      <c r="N454" s="1">
        <v>479</v>
      </c>
      <c r="O454" s="1">
        <v>479</v>
      </c>
      <c r="P454" t="s">
        <v>2778</v>
      </c>
      <c r="Q45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54" s="1" t="s">
        <v>2779</v>
      </c>
    </row>
    <row r="455" spans="1:18" x14ac:dyDescent="0.25">
      <c r="A455" t="s">
        <v>1402</v>
      </c>
      <c r="B455" t="s">
        <v>1403</v>
      </c>
      <c r="C455" s="1">
        <v>8276</v>
      </c>
      <c r="I455" s="1">
        <v>0</v>
      </c>
      <c r="J455" s="1">
        <v>0</v>
      </c>
      <c r="K455" s="1">
        <v>0</v>
      </c>
      <c r="L455" s="1">
        <v>0</v>
      </c>
      <c r="M455" s="6" t="s">
        <v>2784</v>
      </c>
      <c r="N455" s="1">
        <v>3184</v>
      </c>
      <c r="O455" s="1">
        <v>3184</v>
      </c>
      <c r="P455" t="s">
        <v>2778</v>
      </c>
      <c r="Q45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55" s="1" t="s">
        <v>2779</v>
      </c>
    </row>
    <row r="456" spans="1:18" x14ac:dyDescent="0.25">
      <c r="A456" t="s">
        <v>1406</v>
      </c>
      <c r="B456" t="s">
        <v>1407</v>
      </c>
      <c r="C456" s="1">
        <v>130</v>
      </c>
      <c r="I456" s="1">
        <v>0</v>
      </c>
      <c r="J456" s="1">
        <v>0</v>
      </c>
      <c r="K456" s="1">
        <v>0</v>
      </c>
      <c r="L456" s="1">
        <v>0</v>
      </c>
      <c r="M456" s="6" t="s">
        <v>2784</v>
      </c>
      <c r="N456" s="1">
        <v>52</v>
      </c>
      <c r="O456" s="1">
        <v>52</v>
      </c>
      <c r="P456" t="s">
        <v>2778</v>
      </c>
      <c r="Q45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56" s="1" t="s">
        <v>2779</v>
      </c>
    </row>
    <row r="457" spans="1:18" x14ac:dyDescent="0.25">
      <c r="A457" t="s">
        <v>609</v>
      </c>
      <c r="B457" t="s">
        <v>610</v>
      </c>
      <c r="C457" s="1">
        <v>1622</v>
      </c>
      <c r="D457" s="1">
        <v>1</v>
      </c>
      <c r="E457" s="1">
        <v>1</v>
      </c>
      <c r="F457" s="1">
        <v>1</v>
      </c>
      <c r="H457" s="1">
        <v>3</v>
      </c>
      <c r="I457" s="1">
        <v>2</v>
      </c>
      <c r="J457" s="1">
        <v>14</v>
      </c>
      <c r="K457" s="1">
        <v>744</v>
      </c>
      <c r="L457" s="1">
        <v>760</v>
      </c>
      <c r="M457" s="6">
        <f>(Table2[[#This Row],[Grand Total of Lead Service Lines Replaced]]/(Table2[[#This Row],[Total to be identified or replaced]]+Table2[[#This Row],[Grand Total of Lead Service Lines Replaced]]))</f>
        <v>3.9318479685452159E-3</v>
      </c>
      <c r="N457" s="1">
        <v>71</v>
      </c>
      <c r="O457" s="1">
        <v>831</v>
      </c>
      <c r="P457" t="s">
        <v>2778</v>
      </c>
      <c r="Q45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57" s="1" t="s">
        <v>2783</v>
      </c>
    </row>
    <row r="458" spans="1:18" x14ac:dyDescent="0.25">
      <c r="A458" t="s">
        <v>447</v>
      </c>
      <c r="B458" t="s">
        <v>448</v>
      </c>
      <c r="C458" s="1">
        <v>7905</v>
      </c>
      <c r="E458" s="1">
        <v>1</v>
      </c>
      <c r="F458" s="1">
        <v>2</v>
      </c>
      <c r="G458" s="1">
        <v>4</v>
      </c>
      <c r="H458" s="1">
        <v>7</v>
      </c>
      <c r="I458" s="1">
        <v>1420</v>
      </c>
      <c r="J458" s="1">
        <v>83</v>
      </c>
      <c r="K458" s="1">
        <v>39</v>
      </c>
      <c r="L458" s="1">
        <v>1542</v>
      </c>
      <c r="M458" s="6">
        <f>(Table2[[#This Row],[Grand Total of Lead Service Lines Replaced]]/(Table2[[#This Row],[Total to be identified or replaced]]+Table2[[#This Row],[Grand Total of Lead Service Lines Replaced]]))</f>
        <v>4.5190445448676569E-3</v>
      </c>
      <c r="N458" s="1">
        <v>1153</v>
      </c>
      <c r="O458" s="1">
        <v>2695</v>
      </c>
      <c r="P458">
        <v>2024</v>
      </c>
      <c r="Q45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58" s="1" t="s">
        <v>2783</v>
      </c>
    </row>
    <row r="459" spans="1:18" x14ac:dyDescent="0.25">
      <c r="A459" t="s">
        <v>789</v>
      </c>
      <c r="B459" t="s">
        <v>790</v>
      </c>
      <c r="C459" s="1">
        <v>1256</v>
      </c>
      <c r="D459" s="1">
        <v>1</v>
      </c>
      <c r="G459" s="1">
        <v>1</v>
      </c>
      <c r="H459" s="1">
        <v>2</v>
      </c>
      <c r="I459" s="1">
        <v>1</v>
      </c>
      <c r="J459" s="1">
        <v>4</v>
      </c>
      <c r="K459" s="1">
        <v>418</v>
      </c>
      <c r="L459" s="1">
        <v>423</v>
      </c>
      <c r="M459" s="6">
        <f>(Table2[[#This Row],[Grand Total of Lead Service Lines Replaced]]/(Table2[[#This Row],[Total to be identified or replaced]]+Table2[[#This Row],[Grand Total of Lead Service Lines Replaced]]))</f>
        <v>4.7058823529411761E-3</v>
      </c>
      <c r="N459" s="1">
        <v>157</v>
      </c>
      <c r="O459" s="1">
        <v>580</v>
      </c>
      <c r="P459" t="s">
        <v>2778</v>
      </c>
      <c r="Q45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59" s="1" t="s">
        <v>2783</v>
      </c>
    </row>
    <row r="460" spans="1:18" x14ac:dyDescent="0.25">
      <c r="A460" t="s">
        <v>1066</v>
      </c>
      <c r="B460" t="s">
        <v>1067</v>
      </c>
      <c r="C460" s="1">
        <v>946</v>
      </c>
      <c r="G460" s="1">
        <v>1</v>
      </c>
      <c r="H460" s="1">
        <v>1</v>
      </c>
      <c r="I460" s="1">
        <v>0</v>
      </c>
      <c r="J460" s="1">
        <v>40</v>
      </c>
      <c r="K460" s="1">
        <v>158</v>
      </c>
      <c r="L460" s="1">
        <v>198</v>
      </c>
      <c r="M460" s="6">
        <f>(Table2[[#This Row],[Grand Total of Lead Service Lines Replaced]]/(Table2[[#This Row],[Total to be identified or replaced]]+Table2[[#This Row],[Grand Total of Lead Service Lines Replaced]]))</f>
        <v>5.0251256281407036E-3</v>
      </c>
      <c r="N460" s="1">
        <v>91</v>
      </c>
      <c r="O460" s="1">
        <v>289</v>
      </c>
      <c r="P460" t="s">
        <v>2778</v>
      </c>
      <c r="Q46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60" s="1" t="s">
        <v>2783</v>
      </c>
    </row>
    <row r="461" spans="1:18" x14ac:dyDescent="0.25">
      <c r="A461" t="s">
        <v>811</v>
      </c>
      <c r="B461" t="s">
        <v>812</v>
      </c>
      <c r="C461" s="1">
        <v>10654</v>
      </c>
      <c r="D461" s="1">
        <v>1</v>
      </c>
      <c r="G461" s="1">
        <v>1</v>
      </c>
      <c r="H461" s="1">
        <v>2</v>
      </c>
      <c r="I461" s="1">
        <v>1</v>
      </c>
      <c r="J461" s="1">
        <v>11</v>
      </c>
      <c r="K461" s="1">
        <v>380</v>
      </c>
      <c r="L461" s="1">
        <v>392</v>
      </c>
      <c r="M461" s="6">
        <f>(Table2[[#This Row],[Grand Total of Lead Service Lines Replaced]]/(Table2[[#This Row],[Total to be identified or replaced]]+Table2[[#This Row],[Grand Total of Lead Service Lines Replaced]]))</f>
        <v>5.076142131979695E-3</v>
      </c>
      <c r="N461" s="1">
        <v>744</v>
      </c>
      <c r="O461" s="1">
        <v>1136</v>
      </c>
      <c r="P461" t="s">
        <v>2778</v>
      </c>
      <c r="Q46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61" s="1" t="s">
        <v>2783</v>
      </c>
    </row>
    <row r="462" spans="1:18" x14ac:dyDescent="0.25">
      <c r="A462" t="s">
        <v>1416</v>
      </c>
      <c r="B462" t="s">
        <v>1417</v>
      </c>
      <c r="C462" s="1">
        <v>60</v>
      </c>
      <c r="I462" s="1">
        <v>0</v>
      </c>
      <c r="J462" s="1">
        <v>0</v>
      </c>
      <c r="K462" s="1">
        <v>0</v>
      </c>
      <c r="L462" s="1">
        <v>0</v>
      </c>
      <c r="M462" s="6" t="s">
        <v>2784</v>
      </c>
      <c r="N462" s="1">
        <v>4</v>
      </c>
      <c r="O462" s="1">
        <v>4</v>
      </c>
      <c r="P462" t="s">
        <v>2778</v>
      </c>
      <c r="Q46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62" s="1" t="s">
        <v>2779</v>
      </c>
    </row>
    <row r="463" spans="1:18" x14ac:dyDescent="0.25">
      <c r="A463" t="s">
        <v>1418</v>
      </c>
      <c r="B463" t="s">
        <v>1419</v>
      </c>
      <c r="C463" s="1">
        <v>288</v>
      </c>
      <c r="I463" s="1">
        <v>0</v>
      </c>
      <c r="J463" s="1">
        <v>0</v>
      </c>
      <c r="K463" s="1">
        <v>0</v>
      </c>
      <c r="L463" s="1">
        <v>0</v>
      </c>
      <c r="M463" s="6" t="s">
        <v>2784</v>
      </c>
      <c r="N463" s="1">
        <v>104</v>
      </c>
      <c r="O463" s="1">
        <v>104</v>
      </c>
      <c r="P463" t="s">
        <v>2778</v>
      </c>
      <c r="Q4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63" s="1" t="s">
        <v>2779</v>
      </c>
    </row>
    <row r="464" spans="1:18" x14ac:dyDescent="0.25">
      <c r="A464" t="s">
        <v>1420</v>
      </c>
      <c r="B464" t="s">
        <v>1421</v>
      </c>
      <c r="C464" s="1">
        <v>50</v>
      </c>
      <c r="I464" s="1">
        <v>0</v>
      </c>
      <c r="J464" s="1">
        <v>0</v>
      </c>
      <c r="K464" s="1">
        <v>0</v>
      </c>
      <c r="L464" s="1">
        <v>0</v>
      </c>
      <c r="M464" s="6" t="s">
        <v>2784</v>
      </c>
      <c r="N464" s="1">
        <v>20</v>
      </c>
      <c r="O464" s="1">
        <v>20</v>
      </c>
      <c r="P464" t="s">
        <v>2778</v>
      </c>
      <c r="Q46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64" s="1" t="s">
        <v>2779</v>
      </c>
    </row>
    <row r="465" spans="1:18" x14ac:dyDescent="0.25">
      <c r="A465" t="s">
        <v>193</v>
      </c>
      <c r="B465" t="s">
        <v>194</v>
      </c>
      <c r="C465" s="1">
        <v>5959</v>
      </c>
      <c r="D465" s="1">
        <v>2</v>
      </c>
      <c r="F465" s="1">
        <v>2</v>
      </c>
      <c r="G465" s="1">
        <v>1</v>
      </c>
      <c r="H465" s="1">
        <v>5</v>
      </c>
      <c r="I465" s="1">
        <v>49</v>
      </c>
      <c r="J465" s="1">
        <v>3</v>
      </c>
      <c r="K465" s="1">
        <v>905</v>
      </c>
      <c r="L465" s="1">
        <v>957</v>
      </c>
      <c r="M465" s="6">
        <f>(Table2[[#This Row],[Grand Total of Lead Service Lines Replaced]]/(Table2[[#This Row],[Total to be identified or replaced]]+Table2[[#This Row],[Grand Total of Lead Service Lines Replaced]]))</f>
        <v>5.1975051975051978E-3</v>
      </c>
      <c r="N465" s="1">
        <v>1484</v>
      </c>
      <c r="O465" s="1">
        <v>2441</v>
      </c>
      <c r="P465" t="s">
        <v>2778</v>
      </c>
      <c r="Q46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65" s="1" t="s">
        <v>2783</v>
      </c>
    </row>
    <row r="466" spans="1:18" x14ac:dyDescent="0.25">
      <c r="A466" t="s">
        <v>1422</v>
      </c>
      <c r="B466" t="s">
        <v>1423</v>
      </c>
      <c r="C466" s="1">
        <v>894</v>
      </c>
      <c r="I466" s="1">
        <v>0</v>
      </c>
      <c r="J466" s="1">
        <v>0</v>
      </c>
      <c r="K466" s="1">
        <v>0</v>
      </c>
      <c r="L466" s="1">
        <v>0</v>
      </c>
      <c r="M466" s="6" t="s">
        <v>2784</v>
      </c>
      <c r="N466" s="1">
        <v>337</v>
      </c>
      <c r="O466" s="1">
        <v>337</v>
      </c>
      <c r="P466" t="s">
        <v>2778</v>
      </c>
      <c r="Q46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66" s="1" t="s">
        <v>2779</v>
      </c>
    </row>
    <row r="467" spans="1:18" x14ac:dyDescent="0.25">
      <c r="A467" t="s">
        <v>1424</v>
      </c>
      <c r="B467" t="s">
        <v>1425</v>
      </c>
      <c r="C467" s="1">
        <v>200</v>
      </c>
      <c r="I467" s="1">
        <v>0</v>
      </c>
      <c r="J467" s="1">
        <v>0</v>
      </c>
      <c r="K467" s="1">
        <v>0</v>
      </c>
      <c r="L467" s="1">
        <v>0</v>
      </c>
      <c r="M467" s="6" t="s">
        <v>2784</v>
      </c>
      <c r="N467" s="1">
        <v>114</v>
      </c>
      <c r="O467" s="1">
        <v>114</v>
      </c>
      <c r="P467" t="s">
        <v>2778</v>
      </c>
      <c r="Q46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67" s="1" t="s">
        <v>2779</v>
      </c>
    </row>
    <row r="468" spans="1:18" x14ac:dyDescent="0.25">
      <c r="A468" t="s">
        <v>647</v>
      </c>
      <c r="B468" t="s">
        <v>648</v>
      </c>
      <c r="C468" s="1">
        <v>2394</v>
      </c>
      <c r="D468" s="1">
        <v>2</v>
      </c>
      <c r="E468" s="1">
        <v>1</v>
      </c>
      <c r="F468" s="1">
        <v>1</v>
      </c>
      <c r="H468" s="1">
        <v>4</v>
      </c>
      <c r="I468" s="1">
        <v>20</v>
      </c>
      <c r="J468" s="1">
        <v>8</v>
      </c>
      <c r="K468" s="1">
        <v>652</v>
      </c>
      <c r="L468" s="1">
        <v>680</v>
      </c>
      <c r="M468" s="6">
        <f>(Table2[[#This Row],[Grand Total of Lead Service Lines Replaced]]/(Table2[[#This Row],[Total to be identified or replaced]]+Table2[[#This Row],[Grand Total of Lead Service Lines Replaced]]))</f>
        <v>5.8479532163742687E-3</v>
      </c>
      <c r="N468" s="1">
        <v>437</v>
      </c>
      <c r="O468" s="1">
        <v>1117</v>
      </c>
      <c r="P468" t="s">
        <v>2778</v>
      </c>
      <c r="Q46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68" s="1" t="s">
        <v>2783</v>
      </c>
    </row>
    <row r="469" spans="1:18" x14ac:dyDescent="0.25">
      <c r="A469" t="s">
        <v>2283</v>
      </c>
      <c r="B469" t="s">
        <v>2284</v>
      </c>
      <c r="C469" s="1">
        <v>80</v>
      </c>
      <c r="I469" s="1">
        <v>0</v>
      </c>
      <c r="J469" s="1">
        <v>0</v>
      </c>
      <c r="K469" s="1">
        <v>0</v>
      </c>
      <c r="L469" s="1">
        <v>0</v>
      </c>
      <c r="M469" s="6" t="s">
        <v>2784</v>
      </c>
      <c r="N469" s="1">
        <v>59</v>
      </c>
      <c r="P469" t="s">
        <v>2778</v>
      </c>
      <c r="Q469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469" s="1" t="s">
        <v>2782</v>
      </c>
    </row>
    <row r="470" spans="1:18" x14ac:dyDescent="0.25">
      <c r="A470" t="s">
        <v>249</v>
      </c>
      <c r="B470" t="s">
        <v>250</v>
      </c>
      <c r="C470" s="1">
        <v>23989</v>
      </c>
      <c r="D470" s="1">
        <v>3</v>
      </c>
      <c r="E470" s="1">
        <v>11</v>
      </c>
      <c r="F470" s="1">
        <v>8</v>
      </c>
      <c r="G470" s="1">
        <v>11</v>
      </c>
      <c r="H470" s="1">
        <v>33</v>
      </c>
      <c r="I470" s="1">
        <v>43</v>
      </c>
      <c r="J470" s="1">
        <v>14</v>
      </c>
      <c r="K470" s="1">
        <v>5533</v>
      </c>
      <c r="L470" s="1">
        <v>5590</v>
      </c>
      <c r="M470" s="6">
        <f>(Table2[[#This Row],[Grand Total of Lead Service Lines Replaced]]/(Table2[[#This Row],[Total to be identified or replaced]]+Table2[[#This Row],[Grand Total of Lead Service Lines Replaced]]))</f>
        <v>5.8687533345189403E-3</v>
      </c>
      <c r="N470" s="1">
        <v>2853</v>
      </c>
      <c r="O470" s="1">
        <v>8443</v>
      </c>
      <c r="P470">
        <v>2017</v>
      </c>
      <c r="Q47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70" s="1" t="s">
        <v>2783</v>
      </c>
    </row>
    <row r="471" spans="1:18" x14ac:dyDescent="0.25">
      <c r="A471" t="s">
        <v>1426</v>
      </c>
      <c r="B471" t="s">
        <v>1427</v>
      </c>
      <c r="C471" s="1">
        <v>360</v>
      </c>
      <c r="I471" s="1">
        <v>0</v>
      </c>
      <c r="J471" s="1">
        <v>0</v>
      </c>
      <c r="K471" s="1">
        <v>0</v>
      </c>
      <c r="L471" s="1">
        <v>0</v>
      </c>
      <c r="M471" s="6" t="s">
        <v>2784</v>
      </c>
      <c r="N471" s="1">
        <v>26</v>
      </c>
      <c r="O471" s="1">
        <v>26</v>
      </c>
      <c r="P471" t="s">
        <v>2778</v>
      </c>
      <c r="Q47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71" s="1" t="s">
        <v>2779</v>
      </c>
    </row>
    <row r="472" spans="1:18" x14ac:dyDescent="0.25">
      <c r="A472" t="s">
        <v>2357</v>
      </c>
      <c r="B472" t="s">
        <v>2358</v>
      </c>
      <c r="C472" s="1">
        <v>70</v>
      </c>
      <c r="I472" s="1">
        <v>0</v>
      </c>
      <c r="J472" s="1">
        <v>0</v>
      </c>
      <c r="K472" s="1">
        <v>0</v>
      </c>
      <c r="L472" s="1">
        <v>0</v>
      </c>
      <c r="M472" s="6" t="s">
        <v>2784</v>
      </c>
      <c r="N472" s="1">
        <v>44</v>
      </c>
      <c r="P472" t="s">
        <v>2778</v>
      </c>
      <c r="Q472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472" s="1" t="s">
        <v>2782</v>
      </c>
    </row>
    <row r="473" spans="1:18" x14ac:dyDescent="0.25">
      <c r="A473" t="s">
        <v>1428</v>
      </c>
      <c r="B473" t="s">
        <v>1429</v>
      </c>
      <c r="C473" s="1">
        <v>135</v>
      </c>
      <c r="I473" s="1">
        <v>0</v>
      </c>
      <c r="J473" s="1">
        <v>0</v>
      </c>
      <c r="K473" s="1">
        <v>0</v>
      </c>
      <c r="L473" s="1">
        <v>0</v>
      </c>
      <c r="M473" s="6" t="s">
        <v>2784</v>
      </c>
      <c r="N473" s="1">
        <v>54</v>
      </c>
      <c r="O473" s="1">
        <v>54</v>
      </c>
      <c r="P473" t="s">
        <v>2778</v>
      </c>
      <c r="Q4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73" s="1" t="s">
        <v>2779</v>
      </c>
    </row>
    <row r="474" spans="1:18" x14ac:dyDescent="0.25">
      <c r="A474" t="s">
        <v>2191</v>
      </c>
      <c r="B474" t="s">
        <v>2192</v>
      </c>
      <c r="C474" s="1">
        <v>489</v>
      </c>
      <c r="I474" s="1">
        <v>0</v>
      </c>
      <c r="J474" s="1">
        <v>0</v>
      </c>
      <c r="L474" s="1">
        <v>0</v>
      </c>
      <c r="M474" s="6" t="s">
        <v>2784</v>
      </c>
      <c r="N474" s="1">
        <v>210</v>
      </c>
      <c r="P474" t="s">
        <v>2778</v>
      </c>
      <c r="Q474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474" s="1" t="s">
        <v>2782</v>
      </c>
    </row>
    <row r="475" spans="1:18" x14ac:dyDescent="0.25">
      <c r="A475" t="s">
        <v>1430</v>
      </c>
      <c r="B475" t="s">
        <v>1431</v>
      </c>
      <c r="C475" s="1">
        <v>1</v>
      </c>
      <c r="I475" s="1">
        <v>0</v>
      </c>
      <c r="J475" s="1">
        <v>0</v>
      </c>
      <c r="K475" s="1">
        <v>0</v>
      </c>
      <c r="L475" s="1">
        <v>0</v>
      </c>
      <c r="M475" s="6" t="s">
        <v>2784</v>
      </c>
      <c r="N475" s="1">
        <v>1</v>
      </c>
      <c r="O475" s="1">
        <v>1</v>
      </c>
      <c r="P475" t="s">
        <v>2778</v>
      </c>
      <c r="Q47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75" s="1" t="s">
        <v>2779</v>
      </c>
    </row>
    <row r="476" spans="1:18" x14ac:dyDescent="0.25">
      <c r="A476" t="s">
        <v>1432</v>
      </c>
      <c r="B476" t="s">
        <v>1433</v>
      </c>
      <c r="C476" s="1">
        <v>900</v>
      </c>
      <c r="I476" s="1">
        <v>0</v>
      </c>
      <c r="J476" s="1">
        <v>0</v>
      </c>
      <c r="K476" s="1">
        <v>0</v>
      </c>
      <c r="L476" s="1">
        <v>0</v>
      </c>
      <c r="M476" s="6" t="s">
        <v>2784</v>
      </c>
      <c r="N476" s="1">
        <v>81</v>
      </c>
      <c r="O476" s="1">
        <v>81</v>
      </c>
      <c r="P476" t="s">
        <v>2778</v>
      </c>
      <c r="Q47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76" s="1" t="s">
        <v>2779</v>
      </c>
    </row>
    <row r="477" spans="1:18" x14ac:dyDescent="0.25">
      <c r="A477" t="s">
        <v>1434</v>
      </c>
      <c r="B477" t="s">
        <v>1435</v>
      </c>
      <c r="C477" s="1">
        <v>142</v>
      </c>
      <c r="I477" s="1">
        <v>0</v>
      </c>
      <c r="J477" s="1">
        <v>0</v>
      </c>
      <c r="K477" s="1">
        <v>0</v>
      </c>
      <c r="L477" s="1">
        <v>0</v>
      </c>
      <c r="M477" s="6" t="s">
        <v>2784</v>
      </c>
      <c r="N477" s="1">
        <v>57</v>
      </c>
      <c r="O477" s="1">
        <v>57</v>
      </c>
      <c r="P477" t="s">
        <v>2778</v>
      </c>
      <c r="Q47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77" s="1" t="s">
        <v>2779</v>
      </c>
    </row>
    <row r="478" spans="1:18" x14ac:dyDescent="0.25">
      <c r="A478" t="s">
        <v>1438</v>
      </c>
      <c r="B478" t="s">
        <v>1439</v>
      </c>
      <c r="C478" s="1">
        <v>68</v>
      </c>
      <c r="L478" s="1">
        <v>0</v>
      </c>
      <c r="M478" s="6" t="s">
        <v>2784</v>
      </c>
      <c r="N478" s="1">
        <v>23</v>
      </c>
      <c r="O478" s="1">
        <v>23</v>
      </c>
      <c r="P478" t="s">
        <v>2778</v>
      </c>
      <c r="Q47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78" s="1" t="s">
        <v>2779</v>
      </c>
    </row>
    <row r="479" spans="1:18" x14ac:dyDescent="0.25">
      <c r="A479" t="s">
        <v>1440</v>
      </c>
      <c r="B479" t="s">
        <v>1441</v>
      </c>
      <c r="C479" s="1">
        <v>265</v>
      </c>
      <c r="I479" s="1">
        <v>0</v>
      </c>
      <c r="J479" s="1">
        <v>0</v>
      </c>
      <c r="K479" s="1">
        <v>0</v>
      </c>
      <c r="L479" s="1">
        <v>0</v>
      </c>
      <c r="M479" s="6" t="s">
        <v>2784</v>
      </c>
      <c r="N479" s="1">
        <v>98</v>
      </c>
      <c r="O479" s="1">
        <v>98</v>
      </c>
      <c r="P479" t="s">
        <v>2778</v>
      </c>
      <c r="Q4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79" s="1" t="s">
        <v>2779</v>
      </c>
    </row>
    <row r="480" spans="1:18" x14ac:dyDescent="0.25">
      <c r="A480" t="s">
        <v>87</v>
      </c>
      <c r="B480" t="s">
        <v>88</v>
      </c>
      <c r="I480" s="1">
        <v>0</v>
      </c>
      <c r="J480" s="1">
        <v>0</v>
      </c>
      <c r="K480" s="1">
        <v>0</v>
      </c>
      <c r="L480" s="1">
        <v>0</v>
      </c>
      <c r="M480" s="6" t="s">
        <v>2784</v>
      </c>
      <c r="N480" s="1">
        <v>0</v>
      </c>
      <c r="O480" s="1">
        <v>0</v>
      </c>
      <c r="P480" t="s">
        <v>2778</v>
      </c>
      <c r="Q480" t="s">
        <v>2788</v>
      </c>
      <c r="R480" t="s">
        <v>2788</v>
      </c>
    </row>
    <row r="481" spans="1:18" x14ac:dyDescent="0.25">
      <c r="A481" t="s">
        <v>1444</v>
      </c>
      <c r="B481" t="s">
        <v>1445</v>
      </c>
      <c r="C481" s="1">
        <v>330</v>
      </c>
      <c r="I481" s="1">
        <v>0</v>
      </c>
      <c r="J481" s="1">
        <v>0</v>
      </c>
      <c r="K481" s="1">
        <v>0</v>
      </c>
      <c r="L481" s="1">
        <v>0</v>
      </c>
      <c r="M481" s="6" t="s">
        <v>2784</v>
      </c>
      <c r="N481" s="1">
        <v>1</v>
      </c>
      <c r="O481" s="1">
        <v>1</v>
      </c>
      <c r="P481" t="s">
        <v>2778</v>
      </c>
      <c r="Q4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81" s="1" t="s">
        <v>2779</v>
      </c>
    </row>
    <row r="482" spans="1:18" x14ac:dyDescent="0.25">
      <c r="A482" t="s">
        <v>581</v>
      </c>
      <c r="B482" t="s">
        <v>582</v>
      </c>
      <c r="C482" s="1">
        <v>2307</v>
      </c>
      <c r="E482" s="1">
        <v>1</v>
      </c>
      <c r="F482" s="1">
        <v>3</v>
      </c>
      <c r="G482" s="1">
        <v>1</v>
      </c>
      <c r="H482" s="1">
        <v>5</v>
      </c>
      <c r="I482" s="1">
        <v>30</v>
      </c>
      <c r="J482" s="1">
        <v>25</v>
      </c>
      <c r="K482" s="1">
        <v>760</v>
      </c>
      <c r="L482" s="1">
        <v>815</v>
      </c>
      <c r="M482" s="6">
        <f>(Table2[[#This Row],[Grand Total of Lead Service Lines Replaced]]/(Table2[[#This Row],[Total to be identified or replaced]]+Table2[[#This Row],[Grand Total of Lead Service Lines Replaced]]))</f>
        <v>6.0975609756097563E-3</v>
      </c>
      <c r="N482" s="1">
        <v>169</v>
      </c>
      <c r="O482" s="1">
        <v>984</v>
      </c>
      <c r="P482" t="s">
        <v>2778</v>
      </c>
      <c r="Q48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82" s="1" t="s">
        <v>2783</v>
      </c>
    </row>
    <row r="483" spans="1:18" x14ac:dyDescent="0.25">
      <c r="A483" t="s">
        <v>1446</v>
      </c>
      <c r="B483" t="s">
        <v>1447</v>
      </c>
      <c r="C483" s="1">
        <v>64</v>
      </c>
      <c r="I483" s="1">
        <v>0</v>
      </c>
      <c r="J483" s="1">
        <v>0</v>
      </c>
      <c r="K483" s="1">
        <v>0</v>
      </c>
      <c r="L483" s="1">
        <v>0</v>
      </c>
      <c r="M483" s="6" t="s">
        <v>2784</v>
      </c>
      <c r="N483" s="1">
        <v>2</v>
      </c>
      <c r="O483" s="1">
        <v>2</v>
      </c>
      <c r="P483" t="s">
        <v>2778</v>
      </c>
      <c r="Q48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83" s="1" t="s">
        <v>2779</v>
      </c>
    </row>
    <row r="484" spans="1:18" x14ac:dyDescent="0.25">
      <c r="A484" t="s">
        <v>427</v>
      </c>
      <c r="B484" t="s">
        <v>428</v>
      </c>
      <c r="C484" s="1">
        <v>9103</v>
      </c>
      <c r="D484" s="1">
        <v>191</v>
      </c>
      <c r="E484" s="1">
        <v>3056</v>
      </c>
      <c r="F484" s="1">
        <v>24</v>
      </c>
      <c r="H484" s="1">
        <v>3271</v>
      </c>
      <c r="I484" s="1">
        <v>0</v>
      </c>
      <c r="J484" s="1">
        <v>0</v>
      </c>
      <c r="K484" s="1">
        <v>0</v>
      </c>
      <c r="L484" s="1">
        <v>0</v>
      </c>
      <c r="M484" s="6">
        <f>(Table2[[#This Row],[Grand Total of Lead Service Lines Replaced]]/(Table2[[#This Row],[Total to be identified or replaced]]+Table2[[#This Row],[Grand Total of Lead Service Lines Replaced]]))</f>
        <v>1</v>
      </c>
      <c r="N484" s="1">
        <v>4531</v>
      </c>
      <c r="O484" s="1">
        <v>4531</v>
      </c>
      <c r="P484">
        <v>2021</v>
      </c>
      <c r="Q484" t="s">
        <v>2785</v>
      </c>
      <c r="R484" s="7" t="s">
        <v>2786</v>
      </c>
    </row>
    <row r="485" spans="1:18" x14ac:dyDescent="0.25">
      <c r="A485" t="s">
        <v>1138</v>
      </c>
      <c r="B485" t="s">
        <v>1139</v>
      </c>
      <c r="C485" s="1">
        <v>575</v>
      </c>
      <c r="G485" s="1">
        <v>1</v>
      </c>
      <c r="H485" s="1">
        <v>1</v>
      </c>
      <c r="I485" s="1">
        <v>0</v>
      </c>
      <c r="J485" s="1">
        <v>31</v>
      </c>
      <c r="K485" s="1">
        <v>127</v>
      </c>
      <c r="L485" s="1">
        <v>158</v>
      </c>
      <c r="M485" s="6">
        <f>(Table2[[#This Row],[Grand Total of Lead Service Lines Replaced]]/(Table2[[#This Row],[Total to be identified or replaced]]+Table2[[#This Row],[Grand Total of Lead Service Lines Replaced]]))</f>
        <v>6.2893081761006293E-3</v>
      </c>
      <c r="N485" s="1">
        <v>60</v>
      </c>
      <c r="O485" s="1">
        <v>218</v>
      </c>
      <c r="P485" t="s">
        <v>2778</v>
      </c>
      <c r="Q48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85" s="1" t="s">
        <v>2783</v>
      </c>
    </row>
    <row r="486" spans="1:18" x14ac:dyDescent="0.25">
      <c r="A486" t="s">
        <v>597</v>
      </c>
      <c r="B486" t="s">
        <v>598</v>
      </c>
      <c r="C486" s="1">
        <v>1875</v>
      </c>
      <c r="D486" s="1">
        <v>5</v>
      </c>
      <c r="H486" s="1">
        <v>5</v>
      </c>
      <c r="I486" s="1">
        <v>30</v>
      </c>
      <c r="J486" s="1">
        <v>5</v>
      </c>
      <c r="K486" s="1">
        <v>753</v>
      </c>
      <c r="L486" s="1">
        <v>788</v>
      </c>
      <c r="M486" s="6">
        <f>(Table2[[#This Row],[Grand Total of Lead Service Lines Replaced]]/(Table2[[#This Row],[Total to be identified or replaced]]+Table2[[#This Row],[Grand Total of Lead Service Lines Replaced]]))</f>
        <v>6.3051702395964691E-3</v>
      </c>
      <c r="N486" s="1">
        <v>143</v>
      </c>
      <c r="O486" s="1">
        <v>931</v>
      </c>
      <c r="P486" t="s">
        <v>2778</v>
      </c>
      <c r="Q48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86" s="1" t="s">
        <v>2783</v>
      </c>
    </row>
    <row r="487" spans="1:18" x14ac:dyDescent="0.25">
      <c r="A487" t="s">
        <v>375</v>
      </c>
      <c r="B487" t="s">
        <v>376</v>
      </c>
      <c r="C487" s="1">
        <v>7896</v>
      </c>
      <c r="D487" s="1">
        <v>3</v>
      </c>
      <c r="E487" s="1">
        <v>3</v>
      </c>
      <c r="F487" s="1">
        <v>4</v>
      </c>
      <c r="G487" s="1">
        <v>4</v>
      </c>
      <c r="H487" s="1">
        <v>14</v>
      </c>
      <c r="I487" s="1">
        <v>894</v>
      </c>
      <c r="J487" s="1">
        <v>6</v>
      </c>
      <c r="K487" s="1">
        <v>1262</v>
      </c>
      <c r="L487" s="1">
        <v>2162</v>
      </c>
      <c r="M487" s="6">
        <f>(Table2[[#This Row],[Grand Total of Lead Service Lines Replaced]]/(Table2[[#This Row],[Total to be identified or replaced]]+Table2[[#This Row],[Grand Total of Lead Service Lines Replaced]]))</f>
        <v>6.4338235294117644E-3</v>
      </c>
      <c r="N487" s="1">
        <v>790</v>
      </c>
      <c r="O487" s="1">
        <v>2952</v>
      </c>
      <c r="P487" t="s">
        <v>2778</v>
      </c>
      <c r="Q48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87" s="1" t="s">
        <v>2783</v>
      </c>
    </row>
    <row r="488" spans="1:18" x14ac:dyDescent="0.25">
      <c r="A488" t="s">
        <v>457</v>
      </c>
      <c r="B488" t="s">
        <v>458</v>
      </c>
      <c r="C488" s="1">
        <v>380</v>
      </c>
      <c r="I488" s="1">
        <v>0</v>
      </c>
      <c r="J488" s="1">
        <v>0</v>
      </c>
      <c r="K488" s="1">
        <v>0</v>
      </c>
      <c r="L488" s="1">
        <v>0</v>
      </c>
      <c r="M488" s="6" t="s">
        <v>2784</v>
      </c>
      <c r="N488" s="1">
        <v>308</v>
      </c>
      <c r="O488" s="1">
        <v>308</v>
      </c>
      <c r="P488">
        <v>2021</v>
      </c>
      <c r="Q48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88" s="1" t="s">
        <v>2779</v>
      </c>
    </row>
    <row r="489" spans="1:18" x14ac:dyDescent="0.25">
      <c r="A489" t="s">
        <v>761</v>
      </c>
      <c r="B489" t="s">
        <v>762</v>
      </c>
      <c r="C489" s="1">
        <v>49479</v>
      </c>
      <c r="F489" s="1">
        <v>3</v>
      </c>
      <c r="H489" s="1">
        <v>3</v>
      </c>
      <c r="I489" s="1">
        <v>0</v>
      </c>
      <c r="J489" s="1">
        <v>0</v>
      </c>
      <c r="K489" s="1">
        <v>454</v>
      </c>
      <c r="L489" s="1">
        <v>454</v>
      </c>
      <c r="M489" s="6">
        <f>(Table2[[#This Row],[Grand Total of Lead Service Lines Replaced]]/(Table2[[#This Row],[Total to be identified or replaced]]+Table2[[#This Row],[Grand Total of Lead Service Lines Replaced]]))</f>
        <v>6.5645514223194746E-3</v>
      </c>
      <c r="N489" s="1">
        <v>16925</v>
      </c>
      <c r="O489" s="1">
        <v>17379</v>
      </c>
      <c r="P489" t="s">
        <v>2778</v>
      </c>
      <c r="Q48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489" s="1" t="s">
        <v>2783</v>
      </c>
    </row>
    <row r="490" spans="1:18" x14ac:dyDescent="0.25">
      <c r="A490" t="s">
        <v>1450</v>
      </c>
      <c r="B490" t="s">
        <v>1451</v>
      </c>
      <c r="C490" s="1">
        <v>435</v>
      </c>
      <c r="I490" s="1">
        <v>0</v>
      </c>
      <c r="J490" s="1">
        <v>0</v>
      </c>
      <c r="K490" s="1">
        <v>0</v>
      </c>
      <c r="L490" s="1">
        <v>0</v>
      </c>
      <c r="M490" s="6" t="s">
        <v>2784</v>
      </c>
      <c r="N490" s="1">
        <v>186</v>
      </c>
      <c r="O490" s="1">
        <v>186</v>
      </c>
      <c r="P490" t="s">
        <v>2778</v>
      </c>
      <c r="Q49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90" s="1" t="s">
        <v>2779</v>
      </c>
    </row>
    <row r="491" spans="1:18" x14ac:dyDescent="0.25">
      <c r="A491" t="s">
        <v>1452</v>
      </c>
      <c r="B491" t="s">
        <v>1453</v>
      </c>
      <c r="C491" s="1">
        <v>100</v>
      </c>
      <c r="I491" s="1">
        <v>0</v>
      </c>
      <c r="J491" s="1">
        <v>0</v>
      </c>
      <c r="K491" s="1">
        <v>0</v>
      </c>
      <c r="L491" s="1">
        <v>0</v>
      </c>
      <c r="M491" s="6" t="s">
        <v>2784</v>
      </c>
      <c r="N491" s="1">
        <v>40</v>
      </c>
      <c r="O491" s="1">
        <v>40</v>
      </c>
      <c r="P491" t="s">
        <v>2778</v>
      </c>
      <c r="Q49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91" s="1" t="s">
        <v>2779</v>
      </c>
    </row>
    <row r="492" spans="1:18" x14ac:dyDescent="0.25">
      <c r="A492" t="s">
        <v>1454</v>
      </c>
      <c r="B492" t="s">
        <v>1455</v>
      </c>
      <c r="C492" s="1">
        <v>148</v>
      </c>
      <c r="I492" s="1">
        <v>0</v>
      </c>
      <c r="J492" s="1">
        <v>0</v>
      </c>
      <c r="K492" s="1">
        <v>0</v>
      </c>
      <c r="L492" s="1">
        <v>0</v>
      </c>
      <c r="M492" s="6" t="s">
        <v>2784</v>
      </c>
      <c r="N492" s="1">
        <v>73</v>
      </c>
      <c r="O492" s="1">
        <v>73</v>
      </c>
      <c r="P492" t="s">
        <v>2778</v>
      </c>
      <c r="Q49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92" s="1" t="s">
        <v>2779</v>
      </c>
    </row>
    <row r="493" spans="1:18" x14ac:dyDescent="0.25">
      <c r="A493" t="s">
        <v>1456</v>
      </c>
      <c r="B493" t="s">
        <v>1457</v>
      </c>
      <c r="C493" s="1">
        <v>1</v>
      </c>
      <c r="L493" s="1">
        <v>0</v>
      </c>
      <c r="M493" s="6" t="s">
        <v>2784</v>
      </c>
      <c r="N493" s="1">
        <v>145</v>
      </c>
      <c r="O493" s="1">
        <v>145</v>
      </c>
      <c r="P493" t="s">
        <v>2778</v>
      </c>
      <c r="Q49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93" s="1" t="s">
        <v>2779</v>
      </c>
    </row>
    <row r="494" spans="1:18" x14ac:dyDescent="0.25">
      <c r="A494" t="s">
        <v>1458</v>
      </c>
      <c r="B494" t="s">
        <v>1459</v>
      </c>
      <c r="C494" s="1">
        <v>152</v>
      </c>
      <c r="L494" s="1">
        <v>0</v>
      </c>
      <c r="M494" s="6" t="s">
        <v>2784</v>
      </c>
      <c r="N494" s="1">
        <v>61</v>
      </c>
      <c r="O494" s="1">
        <v>61</v>
      </c>
      <c r="P494">
        <v>2018</v>
      </c>
      <c r="Q49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94" s="1" t="s">
        <v>2779</v>
      </c>
    </row>
    <row r="495" spans="1:18" x14ac:dyDescent="0.25">
      <c r="A495" t="s">
        <v>1460</v>
      </c>
      <c r="B495" t="s">
        <v>1461</v>
      </c>
      <c r="C495" s="1">
        <v>415</v>
      </c>
      <c r="L495" s="1">
        <v>0</v>
      </c>
      <c r="M495" s="6" t="s">
        <v>2784</v>
      </c>
      <c r="N495" s="1">
        <v>168</v>
      </c>
      <c r="O495" s="1">
        <v>168</v>
      </c>
      <c r="P495" t="s">
        <v>2778</v>
      </c>
      <c r="Q49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95" s="1" t="s">
        <v>2779</v>
      </c>
    </row>
    <row r="496" spans="1:18" x14ac:dyDescent="0.25">
      <c r="A496" t="s">
        <v>31</v>
      </c>
      <c r="B496" t="s">
        <v>32</v>
      </c>
      <c r="C496" s="1">
        <v>3964</v>
      </c>
      <c r="I496" s="1" t="s">
        <v>16</v>
      </c>
      <c r="M496" s="6" t="s">
        <v>2784</v>
      </c>
      <c r="P496" t="s">
        <v>2778</v>
      </c>
      <c r="Q496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496" s="1" t="s">
        <v>2782</v>
      </c>
    </row>
    <row r="497" spans="1:18" x14ac:dyDescent="0.25">
      <c r="A497" t="s">
        <v>1464</v>
      </c>
      <c r="B497" t="s">
        <v>1465</v>
      </c>
      <c r="C497" s="1">
        <v>43</v>
      </c>
      <c r="I497" s="1">
        <v>0</v>
      </c>
      <c r="J497" s="1">
        <v>0</v>
      </c>
      <c r="K497" s="1">
        <v>0</v>
      </c>
      <c r="L497" s="1">
        <v>0</v>
      </c>
      <c r="M497" s="6" t="s">
        <v>2784</v>
      </c>
      <c r="N497" s="1">
        <v>3</v>
      </c>
      <c r="O497" s="1">
        <v>3</v>
      </c>
      <c r="P497" t="s">
        <v>2778</v>
      </c>
      <c r="Q49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97" s="1" t="s">
        <v>2779</v>
      </c>
    </row>
    <row r="498" spans="1:18" x14ac:dyDescent="0.25">
      <c r="A498" t="s">
        <v>763</v>
      </c>
      <c r="B498" t="s">
        <v>764</v>
      </c>
      <c r="C498" s="1">
        <v>45</v>
      </c>
      <c r="I498" s="1">
        <v>0</v>
      </c>
      <c r="J498" s="1">
        <v>0</v>
      </c>
      <c r="K498" s="1">
        <v>0</v>
      </c>
      <c r="L498" s="1">
        <v>0</v>
      </c>
      <c r="M498" s="6" t="s">
        <v>2784</v>
      </c>
      <c r="N498" s="1">
        <v>1</v>
      </c>
      <c r="O498" s="1">
        <v>1</v>
      </c>
      <c r="P498">
        <v>2021</v>
      </c>
      <c r="Q49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98" s="1" t="s">
        <v>2779</v>
      </c>
    </row>
    <row r="499" spans="1:18" x14ac:dyDescent="0.25">
      <c r="A499" t="s">
        <v>1466</v>
      </c>
      <c r="B499" t="s">
        <v>1467</v>
      </c>
      <c r="C499" s="1">
        <v>350</v>
      </c>
      <c r="I499" s="1">
        <v>0</v>
      </c>
      <c r="J499" s="1">
        <v>0</v>
      </c>
      <c r="K499" s="1">
        <v>0</v>
      </c>
      <c r="L499" s="1">
        <v>0</v>
      </c>
      <c r="M499" s="6" t="s">
        <v>2784</v>
      </c>
      <c r="N499" s="1">
        <v>152</v>
      </c>
      <c r="O499" s="1">
        <v>152</v>
      </c>
      <c r="P499" t="s">
        <v>2778</v>
      </c>
      <c r="Q4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499" s="1" t="s">
        <v>2779</v>
      </c>
    </row>
    <row r="500" spans="1:18" x14ac:dyDescent="0.25">
      <c r="A500" t="s">
        <v>291</v>
      </c>
      <c r="B500" t="s">
        <v>292</v>
      </c>
      <c r="C500" s="1">
        <v>910</v>
      </c>
      <c r="G500" s="1">
        <v>2</v>
      </c>
      <c r="H500" s="1">
        <v>2</v>
      </c>
      <c r="I500" s="1">
        <v>0</v>
      </c>
      <c r="J500" s="1">
        <v>6</v>
      </c>
      <c r="K500" s="1">
        <v>282</v>
      </c>
      <c r="L500" s="1">
        <v>288</v>
      </c>
      <c r="M500" s="6">
        <f>(Table2[[#This Row],[Grand Total of Lead Service Lines Replaced]]/(Table2[[#This Row],[Total to be identified or replaced]]+Table2[[#This Row],[Grand Total of Lead Service Lines Replaced]]))</f>
        <v>6.8965517241379309E-3</v>
      </c>
      <c r="N500" s="1">
        <v>57</v>
      </c>
      <c r="O500" s="1">
        <v>345</v>
      </c>
      <c r="P500" t="s">
        <v>2778</v>
      </c>
      <c r="Q50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00" s="1" t="s">
        <v>2783</v>
      </c>
    </row>
    <row r="501" spans="1:18" x14ac:dyDescent="0.25">
      <c r="A501" t="s">
        <v>477</v>
      </c>
      <c r="B501" t="s">
        <v>478</v>
      </c>
      <c r="C501" s="1">
        <v>5059</v>
      </c>
      <c r="D501" s="1">
        <v>11</v>
      </c>
      <c r="H501" s="1">
        <v>11</v>
      </c>
      <c r="I501" s="1">
        <v>6</v>
      </c>
      <c r="J501" s="1">
        <v>99</v>
      </c>
      <c r="K501" s="1">
        <v>1312</v>
      </c>
      <c r="L501" s="1">
        <v>1417</v>
      </c>
      <c r="M501" s="6">
        <f>(Table2[[#This Row],[Grand Total of Lead Service Lines Replaced]]/(Table2[[#This Row],[Total to be identified or replaced]]+Table2[[#This Row],[Grand Total of Lead Service Lines Replaced]]))</f>
        <v>7.7030812324929976E-3</v>
      </c>
      <c r="N501" s="1">
        <v>779</v>
      </c>
      <c r="O501" s="1">
        <v>2196</v>
      </c>
      <c r="P501" t="s">
        <v>2778</v>
      </c>
      <c r="Q50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01" s="1" t="s">
        <v>2783</v>
      </c>
    </row>
    <row r="502" spans="1:18" x14ac:dyDescent="0.25">
      <c r="A502" t="s">
        <v>1566</v>
      </c>
      <c r="B502" t="s">
        <v>1567</v>
      </c>
      <c r="C502" s="1">
        <v>30</v>
      </c>
      <c r="I502" s="1">
        <v>0</v>
      </c>
      <c r="J502" s="1">
        <v>0</v>
      </c>
      <c r="L502" s="1">
        <v>0</v>
      </c>
      <c r="M502" s="6" t="s">
        <v>2784</v>
      </c>
      <c r="N502" s="1">
        <v>20</v>
      </c>
      <c r="O502" s="1">
        <v>20</v>
      </c>
      <c r="P502">
        <v>2021</v>
      </c>
      <c r="Q50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02" s="1" t="s">
        <v>2779</v>
      </c>
    </row>
    <row r="503" spans="1:18" x14ac:dyDescent="0.25">
      <c r="A503" t="s">
        <v>817</v>
      </c>
      <c r="B503" t="s">
        <v>818</v>
      </c>
      <c r="C503" s="1">
        <v>1503</v>
      </c>
      <c r="G503" s="1">
        <v>3</v>
      </c>
      <c r="H503" s="1">
        <v>3</v>
      </c>
      <c r="I503" s="1">
        <v>0</v>
      </c>
      <c r="J503" s="1">
        <v>7</v>
      </c>
      <c r="K503" s="1">
        <v>375</v>
      </c>
      <c r="L503" s="1">
        <v>382</v>
      </c>
      <c r="M503" s="6">
        <f>(Table2[[#This Row],[Grand Total of Lead Service Lines Replaced]]/(Table2[[#This Row],[Total to be identified or replaced]]+Table2[[#This Row],[Grand Total of Lead Service Lines Replaced]]))</f>
        <v>7.7922077922077922E-3</v>
      </c>
      <c r="N503" s="1">
        <v>90</v>
      </c>
      <c r="O503" s="1">
        <v>472</v>
      </c>
      <c r="P503" t="s">
        <v>2778</v>
      </c>
      <c r="Q50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03" s="1" t="s">
        <v>2783</v>
      </c>
    </row>
    <row r="504" spans="1:18" x14ac:dyDescent="0.25">
      <c r="A504" t="s">
        <v>395</v>
      </c>
      <c r="B504" t="s">
        <v>396</v>
      </c>
      <c r="C504" s="1">
        <v>12997</v>
      </c>
      <c r="G504" s="1">
        <v>16</v>
      </c>
      <c r="H504" s="1">
        <v>16</v>
      </c>
      <c r="I504" s="1">
        <v>0</v>
      </c>
      <c r="J504" s="1">
        <v>139</v>
      </c>
      <c r="K504" s="1">
        <v>1850</v>
      </c>
      <c r="L504" s="1">
        <v>1989</v>
      </c>
      <c r="M504" s="6">
        <f>(Table2[[#This Row],[Grand Total of Lead Service Lines Replaced]]/(Table2[[#This Row],[Total to be identified or replaced]]+Table2[[#This Row],[Grand Total of Lead Service Lines Replaced]]))</f>
        <v>7.9800498753117202E-3</v>
      </c>
      <c r="N504" s="1">
        <v>811</v>
      </c>
      <c r="O504" s="1">
        <v>2800</v>
      </c>
      <c r="P504" t="s">
        <v>2778</v>
      </c>
      <c r="Q50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04" s="1" t="s">
        <v>2783</v>
      </c>
    </row>
    <row r="505" spans="1:18" x14ac:dyDescent="0.25">
      <c r="A505" t="s">
        <v>175</v>
      </c>
      <c r="B505" t="s">
        <v>176</v>
      </c>
      <c r="C505" s="1">
        <v>30047</v>
      </c>
      <c r="D505" s="1">
        <v>30</v>
      </c>
      <c r="E505" s="1">
        <v>5</v>
      </c>
      <c r="F505" s="1">
        <v>17</v>
      </c>
      <c r="G505" s="1">
        <v>35</v>
      </c>
      <c r="H505" s="1">
        <v>87</v>
      </c>
      <c r="I505" s="1">
        <v>192</v>
      </c>
      <c r="J505" s="1">
        <v>9735</v>
      </c>
      <c r="K505" s="1">
        <v>663</v>
      </c>
      <c r="L505" s="1">
        <v>10590</v>
      </c>
      <c r="M505" s="6">
        <f>(Table2[[#This Row],[Grand Total of Lead Service Lines Replaced]]/(Table2[[#This Row],[Total to be identified or replaced]]+Table2[[#This Row],[Grand Total of Lead Service Lines Replaced]]))</f>
        <v>8.1483562798538908E-3</v>
      </c>
      <c r="N505" s="1">
        <v>16</v>
      </c>
      <c r="O505" s="1">
        <v>10606</v>
      </c>
      <c r="P505" t="s">
        <v>2778</v>
      </c>
      <c r="Q50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05" s="1" t="s">
        <v>2783</v>
      </c>
    </row>
    <row r="506" spans="1:18" x14ac:dyDescent="0.25">
      <c r="A506" t="s">
        <v>1476</v>
      </c>
      <c r="B506" t="s">
        <v>1477</v>
      </c>
      <c r="C506" s="1">
        <v>1030</v>
      </c>
      <c r="I506" s="1">
        <v>0</v>
      </c>
      <c r="J506" s="1">
        <v>0</v>
      </c>
      <c r="K506" s="1">
        <v>0</v>
      </c>
      <c r="L506" s="1">
        <v>0</v>
      </c>
      <c r="M506" s="6" t="s">
        <v>2784</v>
      </c>
      <c r="N506" s="1">
        <v>460</v>
      </c>
      <c r="O506" s="1">
        <v>460</v>
      </c>
      <c r="P506" t="s">
        <v>2778</v>
      </c>
      <c r="Q50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06" s="1" t="s">
        <v>2779</v>
      </c>
    </row>
    <row r="507" spans="1:18" x14ac:dyDescent="0.25">
      <c r="A507" t="s">
        <v>987</v>
      </c>
      <c r="B507" t="s">
        <v>988</v>
      </c>
      <c r="C507" s="1">
        <v>1884</v>
      </c>
      <c r="D507" s="1">
        <v>1</v>
      </c>
      <c r="G507" s="1">
        <v>1</v>
      </c>
      <c r="H507" s="1">
        <v>2</v>
      </c>
      <c r="J507" s="1">
        <v>243</v>
      </c>
      <c r="L507" s="1">
        <v>243</v>
      </c>
      <c r="M507" s="6">
        <f>(Table2[[#This Row],[Grand Total of Lead Service Lines Replaced]]/(Table2[[#This Row],[Total to be identified or replaced]]+Table2[[#This Row],[Grand Total of Lead Service Lines Replaced]]))</f>
        <v>8.1632653061224497E-3</v>
      </c>
      <c r="N507" s="1">
        <v>503</v>
      </c>
      <c r="O507" s="1">
        <v>746</v>
      </c>
      <c r="P507" t="s">
        <v>2778</v>
      </c>
      <c r="Q50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07" s="1" t="s">
        <v>2783</v>
      </c>
    </row>
    <row r="508" spans="1:18" x14ac:dyDescent="0.25">
      <c r="A508" t="s">
        <v>1478</v>
      </c>
      <c r="B508" t="s">
        <v>1479</v>
      </c>
      <c r="C508" s="1">
        <v>288</v>
      </c>
      <c r="I508" s="1">
        <v>0</v>
      </c>
      <c r="J508" s="1">
        <v>0</v>
      </c>
      <c r="K508" s="1">
        <v>0</v>
      </c>
      <c r="L508" s="1">
        <v>0</v>
      </c>
      <c r="M508" s="6" t="s">
        <v>2784</v>
      </c>
      <c r="N508" s="1">
        <v>12</v>
      </c>
      <c r="O508" s="1">
        <v>12</v>
      </c>
      <c r="P508" t="s">
        <v>2778</v>
      </c>
      <c r="Q50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08" s="1" t="s">
        <v>2779</v>
      </c>
    </row>
    <row r="509" spans="1:18" x14ac:dyDescent="0.25">
      <c r="A509" t="s">
        <v>995</v>
      </c>
      <c r="B509" t="s">
        <v>996</v>
      </c>
      <c r="C509" s="1">
        <v>1986</v>
      </c>
      <c r="G509" s="1">
        <v>2</v>
      </c>
      <c r="H509" s="1">
        <v>2</v>
      </c>
      <c r="I509" s="1">
        <v>0</v>
      </c>
      <c r="J509" s="1">
        <v>0</v>
      </c>
      <c r="K509" s="1">
        <v>242</v>
      </c>
      <c r="L509" s="1">
        <v>242</v>
      </c>
      <c r="M509" s="6">
        <f>(Table2[[#This Row],[Grand Total of Lead Service Lines Replaced]]/(Table2[[#This Row],[Total to be identified or replaced]]+Table2[[#This Row],[Grand Total of Lead Service Lines Replaced]]))</f>
        <v>8.1967213114754103E-3</v>
      </c>
      <c r="N509" s="1">
        <v>394</v>
      </c>
      <c r="O509" s="1">
        <v>636</v>
      </c>
      <c r="P509" t="s">
        <v>2778</v>
      </c>
      <c r="Q50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09" s="1" t="s">
        <v>2783</v>
      </c>
    </row>
    <row r="510" spans="1:18" x14ac:dyDescent="0.25">
      <c r="A510" t="s">
        <v>711</v>
      </c>
      <c r="B510" t="s">
        <v>712</v>
      </c>
      <c r="C510" s="1">
        <v>303</v>
      </c>
      <c r="I510" s="1">
        <v>0</v>
      </c>
      <c r="J510" s="1">
        <v>0</v>
      </c>
      <c r="K510" s="1">
        <v>0</v>
      </c>
      <c r="L510" s="1">
        <v>0</v>
      </c>
      <c r="M510" s="6" t="s">
        <v>2784</v>
      </c>
      <c r="N510" s="1">
        <v>22</v>
      </c>
      <c r="O510" s="1">
        <v>22</v>
      </c>
      <c r="P510" t="s">
        <v>2778</v>
      </c>
      <c r="Q51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10" s="1" t="s">
        <v>2779</v>
      </c>
    </row>
    <row r="511" spans="1:18" x14ac:dyDescent="0.25">
      <c r="A511" t="s">
        <v>1482</v>
      </c>
      <c r="B511" t="s">
        <v>1483</v>
      </c>
      <c r="C511" s="1">
        <v>1194</v>
      </c>
      <c r="J511" s="1">
        <v>0</v>
      </c>
      <c r="K511" s="1">
        <v>0</v>
      </c>
      <c r="L511" s="1">
        <v>0</v>
      </c>
      <c r="M511" s="6" t="s">
        <v>2784</v>
      </c>
      <c r="N511" s="1">
        <v>1343</v>
      </c>
      <c r="O511" s="1">
        <v>1343</v>
      </c>
      <c r="P511" t="s">
        <v>2778</v>
      </c>
      <c r="Q51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11" s="1" t="s">
        <v>2779</v>
      </c>
    </row>
    <row r="512" spans="1:18" x14ac:dyDescent="0.25">
      <c r="A512" t="s">
        <v>1001</v>
      </c>
      <c r="B512" t="s">
        <v>1002</v>
      </c>
      <c r="C512" s="1">
        <v>990</v>
      </c>
      <c r="G512" s="1">
        <v>2</v>
      </c>
      <c r="H512" s="1">
        <v>2</v>
      </c>
      <c r="I512" s="1">
        <v>21</v>
      </c>
      <c r="J512" s="1">
        <v>0</v>
      </c>
      <c r="K512" s="1">
        <v>217</v>
      </c>
      <c r="L512" s="1">
        <v>238</v>
      </c>
      <c r="M512" s="6">
        <f>(Table2[[#This Row],[Grand Total of Lead Service Lines Replaced]]/(Table2[[#This Row],[Total to be identified or replaced]]+Table2[[#This Row],[Grand Total of Lead Service Lines Replaced]]))</f>
        <v>8.3333333333333332E-3</v>
      </c>
      <c r="N512" s="1">
        <v>440</v>
      </c>
      <c r="O512" s="1">
        <v>678</v>
      </c>
      <c r="P512" t="s">
        <v>2778</v>
      </c>
      <c r="Q51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12" s="1" t="s">
        <v>2783</v>
      </c>
    </row>
    <row r="513" spans="1:18" x14ac:dyDescent="0.25">
      <c r="A513" t="s">
        <v>1486</v>
      </c>
      <c r="B513" t="s">
        <v>1487</v>
      </c>
      <c r="C513" s="1">
        <v>839</v>
      </c>
      <c r="I513" s="1">
        <v>0</v>
      </c>
      <c r="J513" s="1">
        <v>0</v>
      </c>
      <c r="K513" s="1">
        <v>0</v>
      </c>
      <c r="L513" s="1">
        <v>0</v>
      </c>
      <c r="M513" s="6" t="s">
        <v>2784</v>
      </c>
      <c r="N513" s="1">
        <v>349</v>
      </c>
      <c r="O513" s="1">
        <v>349</v>
      </c>
      <c r="P513" t="s">
        <v>2778</v>
      </c>
      <c r="Q51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13" s="1" t="s">
        <v>2779</v>
      </c>
    </row>
    <row r="514" spans="1:18" x14ac:dyDescent="0.25">
      <c r="A514" t="s">
        <v>1005</v>
      </c>
      <c r="B514" t="s">
        <v>1006</v>
      </c>
      <c r="C514" s="1">
        <v>350</v>
      </c>
      <c r="G514" s="1">
        <v>2</v>
      </c>
      <c r="H514" s="1">
        <v>2</v>
      </c>
      <c r="I514" s="1">
        <v>21</v>
      </c>
      <c r="J514" s="1">
        <v>0</v>
      </c>
      <c r="K514" s="1">
        <v>217</v>
      </c>
      <c r="L514" s="1">
        <v>238</v>
      </c>
      <c r="M514" s="6">
        <f>(Table2[[#This Row],[Grand Total of Lead Service Lines Replaced]]/(Table2[[#This Row],[Total to be identified or replaced]]+Table2[[#This Row],[Grand Total of Lead Service Lines Replaced]]))</f>
        <v>8.3333333333333332E-3</v>
      </c>
      <c r="N514" s="1">
        <v>440</v>
      </c>
      <c r="O514" s="1">
        <v>678</v>
      </c>
      <c r="P514" t="s">
        <v>2778</v>
      </c>
      <c r="Q51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14" s="1" t="s">
        <v>2783</v>
      </c>
    </row>
    <row r="515" spans="1:18" x14ac:dyDescent="0.25">
      <c r="A515" t="s">
        <v>1488</v>
      </c>
      <c r="B515" t="s">
        <v>1489</v>
      </c>
      <c r="C515" s="1">
        <v>24314</v>
      </c>
      <c r="I515" s="1">
        <v>0</v>
      </c>
      <c r="J515" s="1">
        <v>0</v>
      </c>
      <c r="K515" s="1">
        <v>0</v>
      </c>
      <c r="L515" s="1">
        <v>0</v>
      </c>
      <c r="M515" s="6" t="s">
        <v>2784</v>
      </c>
      <c r="N515" s="1">
        <v>8790</v>
      </c>
      <c r="O515" s="1">
        <v>8790</v>
      </c>
      <c r="P515" t="s">
        <v>2778</v>
      </c>
      <c r="Q5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15" s="1" t="s">
        <v>2779</v>
      </c>
    </row>
    <row r="516" spans="1:18" x14ac:dyDescent="0.25">
      <c r="A516" t="s">
        <v>407</v>
      </c>
      <c r="B516" t="s">
        <v>408</v>
      </c>
      <c r="C516" s="1">
        <v>100513</v>
      </c>
      <c r="D516" s="1">
        <v>1</v>
      </c>
      <c r="F516" s="1">
        <v>10</v>
      </c>
      <c r="G516" s="1">
        <v>4</v>
      </c>
      <c r="H516" s="1">
        <v>15</v>
      </c>
      <c r="I516" s="1">
        <v>0</v>
      </c>
      <c r="J516" s="1">
        <v>0</v>
      </c>
      <c r="K516" s="1">
        <v>1724</v>
      </c>
      <c r="L516" s="1">
        <v>1724</v>
      </c>
      <c r="M516" s="6">
        <f>(Table2[[#This Row],[Grand Total of Lead Service Lines Replaced]]/(Table2[[#This Row],[Total to be identified or replaced]]+Table2[[#This Row],[Grand Total of Lead Service Lines Replaced]]))</f>
        <v>8.6256469235192635E-3</v>
      </c>
      <c r="N516" s="1">
        <v>25723</v>
      </c>
      <c r="O516" s="1">
        <v>27447</v>
      </c>
      <c r="P516" t="s">
        <v>2778</v>
      </c>
      <c r="Q51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16" s="1" t="s">
        <v>2783</v>
      </c>
    </row>
    <row r="517" spans="1:18" x14ac:dyDescent="0.25">
      <c r="A517" t="s">
        <v>421</v>
      </c>
      <c r="B517" t="s">
        <v>422</v>
      </c>
      <c r="C517" s="1">
        <v>5500</v>
      </c>
      <c r="D517" s="1">
        <v>3</v>
      </c>
      <c r="G517" s="1">
        <v>12</v>
      </c>
      <c r="H517" s="1">
        <v>15</v>
      </c>
      <c r="I517" s="1">
        <v>23</v>
      </c>
      <c r="J517" s="1">
        <v>52</v>
      </c>
      <c r="K517" s="1">
        <v>1547</v>
      </c>
      <c r="L517" s="1">
        <v>1622</v>
      </c>
      <c r="M517" s="6">
        <f>(Table2[[#This Row],[Grand Total of Lead Service Lines Replaced]]/(Table2[[#This Row],[Total to be identified or replaced]]+Table2[[#This Row],[Grand Total of Lead Service Lines Replaced]]))</f>
        <v>9.1631032376298105E-3</v>
      </c>
      <c r="N517" s="1">
        <v>367</v>
      </c>
      <c r="O517" s="1">
        <v>1989</v>
      </c>
      <c r="P517" t="s">
        <v>2778</v>
      </c>
      <c r="Q51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17" s="1" t="s">
        <v>2783</v>
      </c>
    </row>
    <row r="518" spans="1:18" x14ac:dyDescent="0.25">
      <c r="A518" t="s">
        <v>195</v>
      </c>
      <c r="B518" t="s">
        <v>196</v>
      </c>
      <c r="C518" s="1">
        <v>33800</v>
      </c>
      <c r="D518" s="1">
        <v>4</v>
      </c>
      <c r="E518" s="1">
        <v>7</v>
      </c>
      <c r="F518" s="1">
        <v>61</v>
      </c>
      <c r="G518" s="1">
        <v>22</v>
      </c>
      <c r="H518" s="1">
        <v>94</v>
      </c>
      <c r="I518" s="1">
        <v>339</v>
      </c>
      <c r="J518" s="1">
        <v>311</v>
      </c>
      <c r="K518" s="1">
        <v>9323</v>
      </c>
      <c r="L518" s="1">
        <v>9973</v>
      </c>
      <c r="M518" s="6">
        <f>(Table2[[#This Row],[Grand Total of Lead Service Lines Replaced]]/(Table2[[#This Row],[Total to be identified or replaced]]+Table2[[#This Row],[Grand Total of Lead Service Lines Replaced]]))</f>
        <v>9.3374391576437864E-3</v>
      </c>
      <c r="N518" s="1">
        <v>2387</v>
      </c>
      <c r="O518" s="1">
        <v>12360</v>
      </c>
      <c r="P518" t="s">
        <v>2778</v>
      </c>
      <c r="Q51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18" s="1" t="s">
        <v>2783</v>
      </c>
    </row>
    <row r="519" spans="1:18" x14ac:dyDescent="0.25">
      <c r="A519" t="s">
        <v>241</v>
      </c>
      <c r="B519" t="s">
        <v>242</v>
      </c>
      <c r="C519" s="1">
        <v>16135</v>
      </c>
      <c r="D519" s="1">
        <v>3</v>
      </c>
      <c r="E519" s="1">
        <v>36</v>
      </c>
      <c r="F519" s="1">
        <v>25</v>
      </c>
      <c r="G519" s="1">
        <v>4</v>
      </c>
      <c r="H519" s="1">
        <v>68</v>
      </c>
      <c r="I519" s="1">
        <v>69</v>
      </c>
      <c r="J519" s="1">
        <v>35</v>
      </c>
      <c r="K519" s="1">
        <v>6448</v>
      </c>
      <c r="L519" s="1">
        <v>6552</v>
      </c>
      <c r="M519" s="6">
        <f>(Table2[[#This Row],[Grand Total of Lead Service Lines Replaced]]/(Table2[[#This Row],[Total to be identified or replaced]]+Table2[[#This Row],[Grand Total of Lead Service Lines Replaced]]))</f>
        <v>1.0271903323262841E-2</v>
      </c>
      <c r="N519" s="1">
        <v>322</v>
      </c>
      <c r="O519" s="1">
        <v>6874</v>
      </c>
      <c r="P519">
        <v>2025</v>
      </c>
      <c r="Q51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19" s="1" t="s">
        <v>2783</v>
      </c>
    </row>
    <row r="520" spans="1:18" x14ac:dyDescent="0.25">
      <c r="A520" t="s">
        <v>1492</v>
      </c>
      <c r="B520" t="s">
        <v>1493</v>
      </c>
      <c r="C520" s="1">
        <v>67</v>
      </c>
      <c r="I520" s="1">
        <v>0</v>
      </c>
      <c r="J520" s="1">
        <v>0</v>
      </c>
      <c r="K520" s="1">
        <v>0</v>
      </c>
      <c r="L520" s="1">
        <v>0</v>
      </c>
      <c r="M520" s="6" t="s">
        <v>2784</v>
      </c>
      <c r="N520" s="1">
        <v>1</v>
      </c>
      <c r="O520" s="1">
        <v>1</v>
      </c>
      <c r="P520" t="s">
        <v>2778</v>
      </c>
      <c r="Q52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20" s="1" t="s">
        <v>2779</v>
      </c>
    </row>
    <row r="521" spans="1:18" x14ac:dyDescent="0.25">
      <c r="A521" t="s">
        <v>1496</v>
      </c>
      <c r="B521" t="s">
        <v>1497</v>
      </c>
      <c r="C521" s="1">
        <v>1543</v>
      </c>
      <c r="I521" s="1">
        <v>0</v>
      </c>
      <c r="J521" s="1">
        <v>0</v>
      </c>
      <c r="K521" s="1">
        <v>0</v>
      </c>
      <c r="L521" s="1">
        <v>0</v>
      </c>
      <c r="M521" s="6" t="s">
        <v>2784</v>
      </c>
      <c r="N521" s="1">
        <v>617</v>
      </c>
      <c r="O521" s="1">
        <v>617</v>
      </c>
      <c r="P521" t="s">
        <v>2778</v>
      </c>
      <c r="Q52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21" s="1" t="s">
        <v>2779</v>
      </c>
    </row>
    <row r="522" spans="1:18" x14ac:dyDescent="0.25">
      <c r="A522" t="s">
        <v>1498</v>
      </c>
      <c r="B522" t="s">
        <v>1499</v>
      </c>
      <c r="C522" s="1">
        <v>3022</v>
      </c>
      <c r="I522" s="1">
        <v>0</v>
      </c>
      <c r="J522" s="1">
        <v>0</v>
      </c>
      <c r="K522" s="1">
        <v>0</v>
      </c>
      <c r="L522" s="1">
        <v>0</v>
      </c>
      <c r="M522" s="6" t="s">
        <v>2784</v>
      </c>
      <c r="N522" s="1">
        <v>505</v>
      </c>
      <c r="O522" s="1">
        <v>505</v>
      </c>
      <c r="P522" t="s">
        <v>2778</v>
      </c>
      <c r="Q52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22" s="1" t="s">
        <v>2779</v>
      </c>
    </row>
    <row r="523" spans="1:18" x14ac:dyDescent="0.25">
      <c r="A523" t="s">
        <v>1500</v>
      </c>
      <c r="B523" t="s">
        <v>1501</v>
      </c>
      <c r="C523" s="1">
        <v>75</v>
      </c>
      <c r="I523" s="1">
        <v>0</v>
      </c>
      <c r="J523" s="1">
        <v>0</v>
      </c>
      <c r="K523" s="1">
        <v>0</v>
      </c>
      <c r="L523" s="1">
        <v>0</v>
      </c>
      <c r="M523" s="6" t="s">
        <v>2784</v>
      </c>
      <c r="N523" s="1">
        <v>49</v>
      </c>
      <c r="O523" s="1">
        <v>49</v>
      </c>
      <c r="P523" t="s">
        <v>2778</v>
      </c>
      <c r="Q5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23" s="1" t="s">
        <v>2779</v>
      </c>
    </row>
    <row r="524" spans="1:18" x14ac:dyDescent="0.25">
      <c r="A524" t="s">
        <v>1502</v>
      </c>
      <c r="B524" t="s">
        <v>1503</v>
      </c>
      <c r="C524" s="1">
        <v>225</v>
      </c>
      <c r="I524" s="1">
        <v>0</v>
      </c>
      <c r="J524" s="1">
        <v>0</v>
      </c>
      <c r="K524" s="1">
        <v>0</v>
      </c>
      <c r="L524" s="1">
        <v>0</v>
      </c>
      <c r="M524" s="6" t="s">
        <v>2784</v>
      </c>
      <c r="N524" s="1">
        <v>85</v>
      </c>
      <c r="O524" s="1">
        <v>85</v>
      </c>
      <c r="P524" t="s">
        <v>2778</v>
      </c>
      <c r="Q52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24" s="1" t="s">
        <v>2779</v>
      </c>
    </row>
    <row r="525" spans="1:18" x14ac:dyDescent="0.25">
      <c r="A525" t="s">
        <v>437</v>
      </c>
      <c r="B525" t="s">
        <v>438</v>
      </c>
      <c r="C525" s="1">
        <v>71739</v>
      </c>
      <c r="D525" s="1">
        <v>1</v>
      </c>
      <c r="E525" s="1">
        <v>1</v>
      </c>
      <c r="F525" s="1">
        <v>1</v>
      </c>
      <c r="G525" s="1">
        <v>14</v>
      </c>
      <c r="H525" s="1">
        <v>17</v>
      </c>
      <c r="I525" s="1">
        <v>1</v>
      </c>
      <c r="J525" s="1">
        <v>1</v>
      </c>
      <c r="K525" s="1">
        <v>1570</v>
      </c>
      <c r="L525" s="1">
        <v>1572</v>
      </c>
      <c r="M525" s="6">
        <f>(Table2[[#This Row],[Grand Total of Lead Service Lines Replaced]]/(Table2[[#This Row],[Total to be identified or replaced]]+Table2[[#This Row],[Grand Total of Lead Service Lines Replaced]]))</f>
        <v>1.0698552548772814E-2</v>
      </c>
      <c r="N525" s="1">
        <v>18532</v>
      </c>
      <c r="O525" s="1">
        <v>20104</v>
      </c>
      <c r="P525" t="s">
        <v>2778</v>
      </c>
      <c r="Q52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25" s="1" t="s">
        <v>2783</v>
      </c>
    </row>
    <row r="526" spans="1:18" x14ac:dyDescent="0.25">
      <c r="A526" t="s">
        <v>1504</v>
      </c>
      <c r="B526" t="s">
        <v>1505</v>
      </c>
      <c r="C526" s="1">
        <v>75</v>
      </c>
      <c r="I526" s="1">
        <v>0</v>
      </c>
      <c r="L526" s="1">
        <v>0</v>
      </c>
      <c r="M526" s="6" t="s">
        <v>2784</v>
      </c>
      <c r="N526" s="1">
        <v>82</v>
      </c>
      <c r="O526" s="1">
        <v>82</v>
      </c>
      <c r="P526" t="s">
        <v>2778</v>
      </c>
      <c r="Q52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26" s="1" t="s">
        <v>2779</v>
      </c>
    </row>
    <row r="527" spans="1:18" x14ac:dyDescent="0.25">
      <c r="A527" t="s">
        <v>1977</v>
      </c>
      <c r="B527" t="s">
        <v>1978</v>
      </c>
      <c r="C527" s="1">
        <v>78</v>
      </c>
      <c r="I527" s="1">
        <v>0</v>
      </c>
      <c r="J527" s="1">
        <v>0</v>
      </c>
      <c r="K527" s="1">
        <v>0</v>
      </c>
      <c r="L527" s="1">
        <v>0</v>
      </c>
      <c r="M527" s="6" t="s">
        <v>2784</v>
      </c>
      <c r="N527" s="1">
        <v>1</v>
      </c>
      <c r="O527" s="1">
        <v>1</v>
      </c>
      <c r="P527">
        <v>2021</v>
      </c>
      <c r="Q52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27" s="1" t="s">
        <v>2779</v>
      </c>
    </row>
    <row r="528" spans="1:18" x14ac:dyDescent="0.25">
      <c r="A528" t="s">
        <v>1506</v>
      </c>
      <c r="B528" t="s">
        <v>1507</v>
      </c>
      <c r="C528" s="1">
        <v>100</v>
      </c>
      <c r="I528" s="1">
        <v>0</v>
      </c>
      <c r="J528" s="1">
        <v>0</v>
      </c>
      <c r="K528" s="1">
        <v>0</v>
      </c>
      <c r="L528" s="1">
        <v>0</v>
      </c>
      <c r="M528" s="6" t="s">
        <v>2784</v>
      </c>
      <c r="N528" s="1">
        <v>197</v>
      </c>
      <c r="O528" s="1">
        <v>197</v>
      </c>
      <c r="P528" t="s">
        <v>2778</v>
      </c>
      <c r="Q52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28" s="1" t="s">
        <v>2779</v>
      </c>
    </row>
    <row r="529" spans="1:18" x14ac:dyDescent="0.25">
      <c r="A529" t="s">
        <v>199</v>
      </c>
      <c r="B529" t="s">
        <v>200</v>
      </c>
      <c r="C529" s="1">
        <v>50</v>
      </c>
      <c r="I529" s="1" t="s">
        <v>16</v>
      </c>
      <c r="M529" s="6" t="s">
        <v>2784</v>
      </c>
      <c r="P529">
        <v>2019</v>
      </c>
      <c r="Q529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529" s="1" t="s">
        <v>2782</v>
      </c>
    </row>
    <row r="530" spans="1:18" x14ac:dyDescent="0.25">
      <c r="A530" t="s">
        <v>1508</v>
      </c>
      <c r="B530" t="s">
        <v>1509</v>
      </c>
      <c r="C530" s="1">
        <v>250</v>
      </c>
      <c r="I530" s="1">
        <v>0</v>
      </c>
      <c r="J530" s="1">
        <v>0</v>
      </c>
      <c r="K530" s="1">
        <v>0</v>
      </c>
      <c r="L530" s="1">
        <v>0</v>
      </c>
      <c r="M530" s="6" t="s">
        <v>2784</v>
      </c>
      <c r="N530" s="1">
        <v>68</v>
      </c>
      <c r="O530" s="1">
        <v>68</v>
      </c>
      <c r="P530" t="s">
        <v>2778</v>
      </c>
      <c r="Q5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30" s="1" t="s">
        <v>2779</v>
      </c>
    </row>
    <row r="531" spans="1:18" x14ac:dyDescent="0.25">
      <c r="A531" t="s">
        <v>1512</v>
      </c>
      <c r="B531" t="s">
        <v>1513</v>
      </c>
      <c r="C531" s="1">
        <v>1632</v>
      </c>
      <c r="J531" s="1">
        <v>0</v>
      </c>
      <c r="K531" s="1">
        <v>0</v>
      </c>
      <c r="L531" s="1">
        <v>0</v>
      </c>
      <c r="M531" s="6" t="s">
        <v>2784</v>
      </c>
      <c r="N531" s="1">
        <v>604</v>
      </c>
      <c r="O531" s="1">
        <v>604</v>
      </c>
      <c r="P531" t="s">
        <v>2778</v>
      </c>
      <c r="Q53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31" s="1" t="s">
        <v>2779</v>
      </c>
    </row>
    <row r="532" spans="1:18" x14ac:dyDescent="0.25">
      <c r="A532" t="s">
        <v>59</v>
      </c>
      <c r="B532" t="s">
        <v>60</v>
      </c>
      <c r="C532" s="1">
        <v>250</v>
      </c>
      <c r="I532" s="1" t="s">
        <v>16</v>
      </c>
      <c r="M532" s="6" t="s">
        <v>2784</v>
      </c>
      <c r="P532" t="s">
        <v>2778</v>
      </c>
      <c r="Q532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532" s="1" t="s">
        <v>2782</v>
      </c>
    </row>
    <row r="533" spans="1:18" x14ac:dyDescent="0.25">
      <c r="A533" t="s">
        <v>1516</v>
      </c>
      <c r="B533" t="s">
        <v>1517</v>
      </c>
      <c r="C533" s="1">
        <v>41</v>
      </c>
      <c r="I533" s="1">
        <v>0</v>
      </c>
      <c r="J533" s="1">
        <v>0</v>
      </c>
      <c r="K533" s="1">
        <v>0</v>
      </c>
      <c r="L533" s="1">
        <v>0</v>
      </c>
      <c r="M533" s="6" t="s">
        <v>2784</v>
      </c>
      <c r="N533" s="1">
        <v>2</v>
      </c>
      <c r="O533" s="1">
        <v>2</v>
      </c>
      <c r="P533" t="s">
        <v>2778</v>
      </c>
      <c r="Q53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33" s="1" t="s">
        <v>2779</v>
      </c>
    </row>
    <row r="534" spans="1:18" x14ac:dyDescent="0.25">
      <c r="A534" t="s">
        <v>1518</v>
      </c>
      <c r="B534" t="s">
        <v>1519</v>
      </c>
      <c r="C534" s="1">
        <v>75</v>
      </c>
      <c r="I534" s="1">
        <v>0</v>
      </c>
      <c r="J534" s="1">
        <v>0</v>
      </c>
      <c r="K534" s="1">
        <v>0</v>
      </c>
      <c r="L534" s="1">
        <v>0</v>
      </c>
      <c r="M534" s="6" t="s">
        <v>2784</v>
      </c>
      <c r="N534" s="1">
        <v>30</v>
      </c>
      <c r="O534" s="1">
        <v>30</v>
      </c>
      <c r="P534" t="s">
        <v>2778</v>
      </c>
      <c r="Q53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34" s="1" t="s">
        <v>2779</v>
      </c>
    </row>
    <row r="535" spans="1:18" x14ac:dyDescent="0.25">
      <c r="A535" t="s">
        <v>2019</v>
      </c>
      <c r="B535" t="s">
        <v>2020</v>
      </c>
      <c r="C535" s="1">
        <v>450</v>
      </c>
      <c r="I535" s="1">
        <v>0</v>
      </c>
      <c r="J535" s="1">
        <v>0</v>
      </c>
      <c r="K535" s="1">
        <v>0</v>
      </c>
      <c r="L535" s="1">
        <v>0</v>
      </c>
      <c r="M535" s="6" t="s">
        <v>2784</v>
      </c>
      <c r="N535" s="1">
        <v>219</v>
      </c>
      <c r="O535" s="1">
        <v>219</v>
      </c>
      <c r="P535">
        <v>2021</v>
      </c>
      <c r="Q53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35" s="1" t="s">
        <v>2779</v>
      </c>
    </row>
    <row r="536" spans="1:18" x14ac:dyDescent="0.25">
      <c r="A536" t="s">
        <v>453</v>
      </c>
      <c r="B536" t="s">
        <v>454</v>
      </c>
      <c r="C536" s="1">
        <v>551</v>
      </c>
      <c r="D536" s="1">
        <v>3</v>
      </c>
      <c r="H536" s="1">
        <v>3</v>
      </c>
      <c r="I536" s="1">
        <v>30</v>
      </c>
      <c r="J536" s="1">
        <v>0</v>
      </c>
      <c r="K536" s="1">
        <v>242</v>
      </c>
      <c r="L536" s="1">
        <v>272</v>
      </c>
      <c r="M536" s="6">
        <f>(Table2[[#This Row],[Grand Total of Lead Service Lines Replaced]]/(Table2[[#This Row],[Total to be identified or replaced]]+Table2[[#This Row],[Grand Total of Lead Service Lines Replaced]]))</f>
        <v>1.090909090909091E-2</v>
      </c>
      <c r="N536" s="1">
        <v>140</v>
      </c>
      <c r="O536" s="1">
        <v>412</v>
      </c>
      <c r="P536" t="s">
        <v>2778</v>
      </c>
      <c r="Q53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36" s="1" t="s">
        <v>2783</v>
      </c>
    </row>
    <row r="537" spans="1:18" x14ac:dyDescent="0.25">
      <c r="A537" t="s">
        <v>1522</v>
      </c>
      <c r="B537" t="s">
        <v>1523</v>
      </c>
      <c r="C537" s="1">
        <v>248</v>
      </c>
      <c r="I537" s="1">
        <v>0</v>
      </c>
      <c r="J537" s="1">
        <v>0</v>
      </c>
      <c r="K537" s="1">
        <v>0</v>
      </c>
      <c r="L537" s="1">
        <v>0</v>
      </c>
      <c r="M537" s="6" t="s">
        <v>2784</v>
      </c>
      <c r="N537" s="1">
        <v>99</v>
      </c>
      <c r="O537" s="1">
        <v>99</v>
      </c>
      <c r="P537" t="s">
        <v>2778</v>
      </c>
      <c r="Q53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37" s="1" t="s">
        <v>2779</v>
      </c>
    </row>
    <row r="538" spans="1:18" x14ac:dyDescent="0.25">
      <c r="A538" t="s">
        <v>77</v>
      </c>
      <c r="B538" t="s">
        <v>78</v>
      </c>
      <c r="C538" s="1">
        <v>9144</v>
      </c>
      <c r="F538" s="1">
        <v>4</v>
      </c>
      <c r="G538" s="1">
        <v>3</v>
      </c>
      <c r="H538" s="1">
        <v>7</v>
      </c>
      <c r="I538" s="1">
        <v>609</v>
      </c>
      <c r="J538" s="1">
        <v>18</v>
      </c>
      <c r="K538" s="1">
        <v>0</v>
      </c>
      <c r="L538" s="1">
        <v>627</v>
      </c>
      <c r="M538" s="6">
        <f>(Table2[[#This Row],[Grand Total of Lead Service Lines Replaced]]/(Table2[[#This Row],[Total to be identified or replaced]]+Table2[[#This Row],[Grand Total of Lead Service Lines Replaced]]))</f>
        <v>1.1041009463722398E-2</v>
      </c>
      <c r="N538" s="1">
        <v>2142</v>
      </c>
      <c r="O538" s="1">
        <v>2769</v>
      </c>
      <c r="P538" t="s">
        <v>2778</v>
      </c>
      <c r="Q53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38" s="1" t="s">
        <v>2783</v>
      </c>
    </row>
    <row r="539" spans="1:18" x14ac:dyDescent="0.25">
      <c r="A539" t="s">
        <v>1524</v>
      </c>
      <c r="B539" t="s">
        <v>1525</v>
      </c>
      <c r="C539" s="1">
        <v>708</v>
      </c>
      <c r="I539" s="1">
        <v>0</v>
      </c>
      <c r="J539" s="1">
        <v>0</v>
      </c>
      <c r="K539" s="1">
        <v>0</v>
      </c>
      <c r="L539" s="1">
        <v>0</v>
      </c>
      <c r="M539" s="6" t="s">
        <v>2784</v>
      </c>
      <c r="N539" s="1">
        <v>286</v>
      </c>
      <c r="O539" s="1">
        <v>286</v>
      </c>
      <c r="P539" t="s">
        <v>2778</v>
      </c>
      <c r="Q5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39" s="1" t="s">
        <v>2779</v>
      </c>
    </row>
    <row r="540" spans="1:18" x14ac:dyDescent="0.25">
      <c r="A540" t="s">
        <v>1526</v>
      </c>
      <c r="B540" t="s">
        <v>1527</v>
      </c>
      <c r="C540" s="1">
        <v>80</v>
      </c>
      <c r="I540" s="1">
        <v>0</v>
      </c>
      <c r="J540" s="1">
        <v>0</v>
      </c>
      <c r="K540" s="1">
        <v>0</v>
      </c>
      <c r="L540" s="1">
        <v>0</v>
      </c>
      <c r="M540" s="6" t="s">
        <v>2784</v>
      </c>
      <c r="N540" s="1">
        <v>32</v>
      </c>
      <c r="O540" s="1">
        <v>32</v>
      </c>
      <c r="P540" t="s">
        <v>2778</v>
      </c>
      <c r="Q5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40" s="1" t="s">
        <v>2779</v>
      </c>
    </row>
    <row r="541" spans="1:18" x14ac:dyDescent="0.25">
      <c r="A541" t="s">
        <v>1528</v>
      </c>
      <c r="B541" t="s">
        <v>1529</v>
      </c>
      <c r="C541" s="1">
        <v>318</v>
      </c>
      <c r="I541" s="1">
        <v>0</v>
      </c>
      <c r="J541" s="1">
        <v>0</v>
      </c>
      <c r="K541" s="1">
        <v>0</v>
      </c>
      <c r="L541" s="1">
        <v>0</v>
      </c>
      <c r="M541" s="6" t="s">
        <v>2784</v>
      </c>
      <c r="N541" s="1">
        <v>209</v>
      </c>
      <c r="O541" s="1">
        <v>209</v>
      </c>
      <c r="P541" t="s">
        <v>2778</v>
      </c>
      <c r="Q5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41" s="1" t="s">
        <v>2779</v>
      </c>
    </row>
    <row r="542" spans="1:18" x14ac:dyDescent="0.25">
      <c r="A542" t="s">
        <v>237</v>
      </c>
      <c r="B542" t="s">
        <v>238</v>
      </c>
      <c r="I542" s="1" t="s">
        <v>16</v>
      </c>
      <c r="M542" s="6" t="s">
        <v>2784</v>
      </c>
      <c r="P542" t="s">
        <v>2778</v>
      </c>
      <c r="Q542" t="s">
        <v>2788</v>
      </c>
      <c r="R542" t="s">
        <v>2788</v>
      </c>
    </row>
    <row r="543" spans="1:18" x14ac:dyDescent="0.25">
      <c r="A543" t="s">
        <v>933</v>
      </c>
      <c r="B543" t="s">
        <v>934</v>
      </c>
      <c r="C543" s="1">
        <v>75</v>
      </c>
      <c r="I543" s="1">
        <v>0</v>
      </c>
      <c r="J543" s="1">
        <v>0</v>
      </c>
      <c r="K543" s="1">
        <v>0</v>
      </c>
      <c r="L543" s="1">
        <v>0</v>
      </c>
      <c r="M543" s="6" t="s">
        <v>2784</v>
      </c>
      <c r="N543" s="1">
        <v>25</v>
      </c>
      <c r="O543" s="1">
        <v>25</v>
      </c>
      <c r="P543">
        <v>2022</v>
      </c>
      <c r="Q5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43" s="1" t="s">
        <v>2779</v>
      </c>
    </row>
    <row r="544" spans="1:18" x14ac:dyDescent="0.25">
      <c r="A544" t="s">
        <v>1532</v>
      </c>
      <c r="B544" t="s">
        <v>1533</v>
      </c>
      <c r="C544" s="1">
        <v>673</v>
      </c>
      <c r="I544" s="1">
        <v>0</v>
      </c>
      <c r="J544" s="1">
        <v>0</v>
      </c>
      <c r="K544" s="1">
        <v>0</v>
      </c>
      <c r="L544" s="1">
        <v>0</v>
      </c>
      <c r="M544" s="6" t="s">
        <v>2784</v>
      </c>
      <c r="N544" s="1">
        <v>269</v>
      </c>
      <c r="O544" s="1">
        <v>269</v>
      </c>
      <c r="P544" t="s">
        <v>2778</v>
      </c>
      <c r="Q54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44" s="1" t="s">
        <v>2779</v>
      </c>
    </row>
    <row r="545" spans="1:18" x14ac:dyDescent="0.25">
      <c r="A545" t="s">
        <v>1534</v>
      </c>
      <c r="B545" t="s">
        <v>1535</v>
      </c>
      <c r="C545" s="1">
        <v>759</v>
      </c>
      <c r="L545" s="1">
        <v>0</v>
      </c>
      <c r="M545" s="6" t="s">
        <v>2784</v>
      </c>
      <c r="N545" s="1">
        <v>372</v>
      </c>
      <c r="O545" s="1">
        <v>372</v>
      </c>
      <c r="P545" t="s">
        <v>2778</v>
      </c>
      <c r="Q5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45" s="1" t="s">
        <v>2779</v>
      </c>
    </row>
    <row r="546" spans="1:18" x14ac:dyDescent="0.25">
      <c r="A546" t="s">
        <v>1536</v>
      </c>
      <c r="B546" t="s">
        <v>1537</v>
      </c>
      <c r="C546" s="1">
        <v>75</v>
      </c>
      <c r="L546" s="1">
        <v>0</v>
      </c>
      <c r="M546" s="6" t="s">
        <v>2784</v>
      </c>
      <c r="N546" s="1">
        <v>20</v>
      </c>
      <c r="O546" s="1">
        <v>20</v>
      </c>
      <c r="P546" t="s">
        <v>2778</v>
      </c>
      <c r="Q54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46" s="1" t="s">
        <v>2779</v>
      </c>
    </row>
    <row r="547" spans="1:18" x14ac:dyDescent="0.25">
      <c r="A547" t="s">
        <v>1538</v>
      </c>
      <c r="B547" t="s">
        <v>1539</v>
      </c>
      <c r="C547" s="1">
        <v>125</v>
      </c>
      <c r="I547" s="1">
        <v>0</v>
      </c>
      <c r="J547" s="1">
        <v>0</v>
      </c>
      <c r="K547" s="1">
        <v>0</v>
      </c>
      <c r="L547" s="1">
        <v>0</v>
      </c>
      <c r="M547" s="6" t="s">
        <v>2784</v>
      </c>
      <c r="N547" s="1">
        <v>50</v>
      </c>
      <c r="O547" s="1">
        <v>50</v>
      </c>
      <c r="P547" t="s">
        <v>2778</v>
      </c>
      <c r="Q54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47" s="1" t="s">
        <v>2779</v>
      </c>
    </row>
    <row r="548" spans="1:18" x14ac:dyDescent="0.25">
      <c r="A548" t="s">
        <v>1540</v>
      </c>
      <c r="B548" t="s">
        <v>1541</v>
      </c>
      <c r="C548" s="1">
        <v>96</v>
      </c>
      <c r="I548" s="1">
        <v>0</v>
      </c>
      <c r="J548" s="1">
        <v>0</v>
      </c>
      <c r="K548" s="1">
        <v>0</v>
      </c>
      <c r="L548" s="1">
        <v>0</v>
      </c>
      <c r="M548" s="6" t="s">
        <v>2784</v>
      </c>
      <c r="N548" s="1">
        <v>9</v>
      </c>
      <c r="O548" s="1">
        <v>9</v>
      </c>
      <c r="P548" t="s">
        <v>2778</v>
      </c>
      <c r="Q54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48" s="1" t="s">
        <v>2779</v>
      </c>
    </row>
    <row r="549" spans="1:18" x14ac:dyDescent="0.25">
      <c r="A549" t="s">
        <v>1544</v>
      </c>
      <c r="B549" t="s">
        <v>1545</v>
      </c>
      <c r="C549" s="1">
        <v>2268</v>
      </c>
      <c r="I549" s="1">
        <v>0</v>
      </c>
      <c r="J549" s="1">
        <v>0</v>
      </c>
      <c r="K549" s="1">
        <v>0</v>
      </c>
      <c r="L549" s="1">
        <v>0</v>
      </c>
      <c r="M549" s="6" t="s">
        <v>2784</v>
      </c>
      <c r="N549" s="1">
        <v>879</v>
      </c>
      <c r="O549" s="1">
        <v>879</v>
      </c>
      <c r="P549" t="s">
        <v>2778</v>
      </c>
      <c r="Q54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49" s="1" t="s">
        <v>2779</v>
      </c>
    </row>
    <row r="550" spans="1:18" x14ac:dyDescent="0.25">
      <c r="A550" t="s">
        <v>1546</v>
      </c>
      <c r="B550" t="s">
        <v>1547</v>
      </c>
      <c r="C550" s="1">
        <v>40</v>
      </c>
      <c r="I550" s="1">
        <v>0</v>
      </c>
      <c r="J550" s="1">
        <v>0</v>
      </c>
      <c r="K550" s="1">
        <v>0</v>
      </c>
      <c r="L550" s="1">
        <v>0</v>
      </c>
      <c r="M550" s="6" t="s">
        <v>2784</v>
      </c>
      <c r="N550" s="1">
        <v>1</v>
      </c>
      <c r="O550" s="1">
        <v>1</v>
      </c>
      <c r="P550" t="s">
        <v>2778</v>
      </c>
      <c r="Q55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50" s="1" t="s">
        <v>2779</v>
      </c>
    </row>
    <row r="551" spans="1:18" x14ac:dyDescent="0.25">
      <c r="A551" t="s">
        <v>1548</v>
      </c>
      <c r="B551" t="s">
        <v>1549</v>
      </c>
      <c r="C551" s="1">
        <v>260</v>
      </c>
      <c r="I551" s="1">
        <v>0</v>
      </c>
      <c r="J551" s="1">
        <v>0</v>
      </c>
      <c r="K551" s="1">
        <v>0</v>
      </c>
      <c r="L551" s="1">
        <v>0</v>
      </c>
      <c r="M551" s="6" t="s">
        <v>2784</v>
      </c>
      <c r="N551" s="1">
        <v>306</v>
      </c>
      <c r="O551" s="1">
        <v>306</v>
      </c>
      <c r="P551" t="s">
        <v>2778</v>
      </c>
      <c r="Q55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51" s="1" t="s">
        <v>2779</v>
      </c>
    </row>
    <row r="552" spans="1:18" x14ac:dyDescent="0.25">
      <c r="A552" t="s">
        <v>1552</v>
      </c>
      <c r="B552" t="s">
        <v>1553</v>
      </c>
      <c r="C552" s="1">
        <v>40</v>
      </c>
      <c r="I552" s="1">
        <v>0</v>
      </c>
      <c r="J552" s="1">
        <v>0</v>
      </c>
      <c r="K552" s="1">
        <v>0</v>
      </c>
      <c r="L552" s="1">
        <v>0</v>
      </c>
      <c r="M552" s="6" t="s">
        <v>2784</v>
      </c>
      <c r="N552" s="1">
        <v>1</v>
      </c>
      <c r="O552" s="1">
        <v>1</v>
      </c>
      <c r="P552" t="s">
        <v>2778</v>
      </c>
      <c r="Q5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52" s="1" t="s">
        <v>2779</v>
      </c>
    </row>
    <row r="553" spans="1:18" x14ac:dyDescent="0.25">
      <c r="A553" t="s">
        <v>989</v>
      </c>
      <c r="B553" t="s">
        <v>990</v>
      </c>
      <c r="C553" s="1">
        <v>40</v>
      </c>
      <c r="I553" s="1">
        <v>0</v>
      </c>
      <c r="J553" s="1">
        <v>0</v>
      </c>
      <c r="K553" s="1">
        <v>0</v>
      </c>
      <c r="L553" s="1">
        <v>0</v>
      </c>
      <c r="M553" s="6" t="s">
        <v>2784</v>
      </c>
      <c r="N553" s="1">
        <v>1</v>
      </c>
      <c r="O553" s="1">
        <v>1</v>
      </c>
      <c r="P553">
        <v>2022</v>
      </c>
      <c r="Q5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53" s="1" t="s">
        <v>2779</v>
      </c>
    </row>
    <row r="554" spans="1:18" x14ac:dyDescent="0.25">
      <c r="A554" t="s">
        <v>1556</v>
      </c>
      <c r="B554" t="s">
        <v>1557</v>
      </c>
      <c r="C554" s="1">
        <v>3786</v>
      </c>
      <c r="I554" s="1">
        <v>0</v>
      </c>
      <c r="J554" s="1">
        <v>0</v>
      </c>
      <c r="K554" s="1">
        <v>0</v>
      </c>
      <c r="L554" s="1">
        <v>0</v>
      </c>
      <c r="M554" s="6" t="s">
        <v>2784</v>
      </c>
      <c r="N554" s="1">
        <v>1194</v>
      </c>
      <c r="O554" s="1">
        <v>1194</v>
      </c>
      <c r="P554" t="s">
        <v>2778</v>
      </c>
      <c r="Q55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54" s="1" t="s">
        <v>2779</v>
      </c>
    </row>
    <row r="555" spans="1:18" x14ac:dyDescent="0.25">
      <c r="A555" t="s">
        <v>1560</v>
      </c>
      <c r="B555" t="s">
        <v>1561</v>
      </c>
      <c r="C555" s="1">
        <v>450</v>
      </c>
      <c r="L555" s="1">
        <v>0</v>
      </c>
      <c r="M555" s="6" t="s">
        <v>2784</v>
      </c>
      <c r="N555" s="1">
        <v>192</v>
      </c>
      <c r="O555" s="1">
        <v>192</v>
      </c>
      <c r="P555" t="s">
        <v>2778</v>
      </c>
      <c r="Q55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55" s="1" t="s">
        <v>2779</v>
      </c>
    </row>
    <row r="556" spans="1:18" x14ac:dyDescent="0.25">
      <c r="A556" t="s">
        <v>1562</v>
      </c>
      <c r="B556" t="s">
        <v>1563</v>
      </c>
      <c r="C556" s="1">
        <v>372</v>
      </c>
      <c r="L556" s="1">
        <v>0</v>
      </c>
      <c r="M556" s="6" t="s">
        <v>2784</v>
      </c>
      <c r="O556" s="1">
        <v>151</v>
      </c>
      <c r="P556" t="s">
        <v>2778</v>
      </c>
      <c r="Q556" s="8" t="s">
        <v>2787</v>
      </c>
      <c r="R556" s="1" t="s">
        <v>2782</v>
      </c>
    </row>
    <row r="557" spans="1:18" x14ac:dyDescent="0.25">
      <c r="A557" t="s">
        <v>1564</v>
      </c>
      <c r="B557" t="s">
        <v>1565</v>
      </c>
      <c r="C557" s="1">
        <v>697</v>
      </c>
      <c r="I557" s="1">
        <v>0</v>
      </c>
      <c r="J557" s="1">
        <v>0</v>
      </c>
      <c r="K557" s="1">
        <v>0</v>
      </c>
      <c r="L557" s="1">
        <v>0</v>
      </c>
      <c r="M557" s="6" t="s">
        <v>2784</v>
      </c>
      <c r="N557" s="1">
        <v>339</v>
      </c>
      <c r="O557" s="1">
        <v>339</v>
      </c>
      <c r="P557" t="s">
        <v>2778</v>
      </c>
      <c r="Q55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57" s="1" t="s">
        <v>2779</v>
      </c>
    </row>
    <row r="558" spans="1:18" x14ac:dyDescent="0.25">
      <c r="A558" t="s">
        <v>1568</v>
      </c>
      <c r="B558" t="s">
        <v>1569</v>
      </c>
      <c r="C558" s="1">
        <v>235</v>
      </c>
      <c r="I558" s="1">
        <v>0</v>
      </c>
      <c r="J558" s="1">
        <v>0</v>
      </c>
      <c r="K558" s="1">
        <v>0</v>
      </c>
      <c r="L558" s="1">
        <v>0</v>
      </c>
      <c r="M558" s="6" t="s">
        <v>2784</v>
      </c>
      <c r="N558" s="1">
        <v>94</v>
      </c>
      <c r="O558" s="1">
        <v>94</v>
      </c>
      <c r="P558" t="s">
        <v>2778</v>
      </c>
      <c r="Q55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58" s="1" t="s">
        <v>2779</v>
      </c>
    </row>
    <row r="559" spans="1:18" x14ac:dyDescent="0.25">
      <c r="A559" t="s">
        <v>345</v>
      </c>
      <c r="B559" t="s">
        <v>346</v>
      </c>
      <c r="C559" s="1">
        <v>14236</v>
      </c>
      <c r="D559" s="1">
        <v>8</v>
      </c>
      <c r="E559" s="1">
        <v>10</v>
      </c>
      <c r="F559" s="1">
        <v>10</v>
      </c>
      <c r="H559" s="1">
        <v>28</v>
      </c>
      <c r="I559" s="1">
        <v>152</v>
      </c>
      <c r="J559" s="1">
        <v>720</v>
      </c>
      <c r="K559" s="1">
        <v>1597</v>
      </c>
      <c r="L559" s="1">
        <v>2469</v>
      </c>
      <c r="M559" s="6">
        <f>(Table2[[#This Row],[Grand Total of Lead Service Lines Replaced]]/(Table2[[#This Row],[Total to be identified or replaced]]+Table2[[#This Row],[Grand Total of Lead Service Lines Replaced]]))</f>
        <v>1.1213456147376852E-2</v>
      </c>
      <c r="N559" s="1">
        <v>4001</v>
      </c>
      <c r="O559" s="1">
        <v>6470</v>
      </c>
      <c r="P559">
        <v>2023</v>
      </c>
      <c r="Q55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59" s="1" t="s">
        <v>2783</v>
      </c>
    </row>
    <row r="560" spans="1:18" x14ac:dyDescent="0.25">
      <c r="A560" t="s">
        <v>955</v>
      </c>
      <c r="B560" t="s">
        <v>956</v>
      </c>
      <c r="C560" s="1">
        <v>943</v>
      </c>
      <c r="G560" s="1">
        <v>3</v>
      </c>
      <c r="H560" s="1">
        <v>3</v>
      </c>
      <c r="I560" s="1">
        <v>0</v>
      </c>
      <c r="J560" s="1">
        <v>37</v>
      </c>
      <c r="K560" s="1">
        <v>216</v>
      </c>
      <c r="L560" s="1">
        <v>253</v>
      </c>
      <c r="M560" s="6">
        <f>(Table2[[#This Row],[Grand Total of Lead Service Lines Replaced]]/(Table2[[#This Row],[Total to be identified or replaced]]+Table2[[#This Row],[Grand Total of Lead Service Lines Replaced]]))</f>
        <v>1.171875E-2</v>
      </c>
      <c r="N560" s="1">
        <v>154</v>
      </c>
      <c r="O560" s="1">
        <v>407</v>
      </c>
      <c r="P560" t="s">
        <v>2778</v>
      </c>
      <c r="Q56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60" s="1" t="s">
        <v>2783</v>
      </c>
    </row>
    <row r="561" spans="1:18" x14ac:dyDescent="0.25">
      <c r="A561" t="s">
        <v>207</v>
      </c>
      <c r="B561" t="s">
        <v>208</v>
      </c>
      <c r="C561" s="1">
        <v>40</v>
      </c>
      <c r="I561" s="1" t="s">
        <v>16</v>
      </c>
      <c r="M561" s="6" t="s">
        <v>2784</v>
      </c>
      <c r="P561" t="s">
        <v>2778</v>
      </c>
      <c r="Q561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561" s="1" t="s">
        <v>2782</v>
      </c>
    </row>
    <row r="562" spans="1:18" x14ac:dyDescent="0.25">
      <c r="A562" t="s">
        <v>619</v>
      </c>
      <c r="B562" t="s">
        <v>620</v>
      </c>
      <c r="C562" s="1">
        <v>3629</v>
      </c>
      <c r="D562" s="1">
        <v>5</v>
      </c>
      <c r="F562" s="1">
        <v>4</v>
      </c>
      <c r="H562" s="1">
        <v>9</v>
      </c>
      <c r="I562" s="1">
        <v>176</v>
      </c>
      <c r="J562" s="1">
        <v>166</v>
      </c>
      <c r="K562" s="1">
        <v>413</v>
      </c>
      <c r="L562" s="1">
        <v>755</v>
      </c>
      <c r="M562" s="6">
        <f>(Table2[[#This Row],[Grand Total of Lead Service Lines Replaced]]/(Table2[[#This Row],[Total to be identified or replaced]]+Table2[[#This Row],[Grand Total of Lead Service Lines Replaced]]))</f>
        <v>1.1780104712041885E-2</v>
      </c>
      <c r="N562" s="1">
        <v>1117</v>
      </c>
      <c r="O562" s="1">
        <v>1872</v>
      </c>
      <c r="P562" t="s">
        <v>2778</v>
      </c>
      <c r="Q56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62" s="1" t="s">
        <v>2783</v>
      </c>
    </row>
    <row r="563" spans="1:18" x14ac:dyDescent="0.25">
      <c r="A563" t="s">
        <v>1574</v>
      </c>
      <c r="B563" t="s">
        <v>1575</v>
      </c>
      <c r="C563" s="1">
        <v>168</v>
      </c>
      <c r="I563" s="1">
        <v>0</v>
      </c>
      <c r="J563" s="1">
        <v>0</v>
      </c>
      <c r="K563" s="1">
        <v>0</v>
      </c>
      <c r="L563" s="1">
        <v>0</v>
      </c>
      <c r="M563" s="6" t="s">
        <v>2784</v>
      </c>
      <c r="N563" s="1">
        <v>67</v>
      </c>
      <c r="O563" s="1">
        <v>67</v>
      </c>
      <c r="P563" t="s">
        <v>2778</v>
      </c>
      <c r="Q5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63" s="1" t="s">
        <v>2779</v>
      </c>
    </row>
    <row r="564" spans="1:18" x14ac:dyDescent="0.25">
      <c r="A564" t="s">
        <v>1576</v>
      </c>
      <c r="B564" t="s">
        <v>1577</v>
      </c>
      <c r="C564" s="1">
        <v>90</v>
      </c>
      <c r="I564" s="1">
        <v>0</v>
      </c>
      <c r="J564" s="1">
        <v>0</v>
      </c>
      <c r="K564" s="1">
        <v>0</v>
      </c>
      <c r="L564" s="1">
        <v>0</v>
      </c>
      <c r="M564" s="6" t="s">
        <v>2784</v>
      </c>
      <c r="N564" s="1">
        <v>38</v>
      </c>
      <c r="O564" s="1">
        <v>38</v>
      </c>
      <c r="P564" t="s">
        <v>2778</v>
      </c>
      <c r="Q56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64" s="1" t="s">
        <v>2779</v>
      </c>
    </row>
    <row r="565" spans="1:18" x14ac:dyDescent="0.25">
      <c r="A565" t="s">
        <v>1578</v>
      </c>
      <c r="B565" t="s">
        <v>1579</v>
      </c>
      <c r="C565" s="1">
        <v>185</v>
      </c>
      <c r="L565" s="1">
        <v>0</v>
      </c>
      <c r="M565" s="6" t="s">
        <v>2784</v>
      </c>
      <c r="N565" s="1">
        <v>74</v>
      </c>
      <c r="O565" s="1">
        <v>74</v>
      </c>
      <c r="P565" t="s">
        <v>2778</v>
      </c>
      <c r="Q56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65" s="1" t="s">
        <v>2779</v>
      </c>
    </row>
    <row r="566" spans="1:18" x14ac:dyDescent="0.25">
      <c r="A566" t="s">
        <v>631</v>
      </c>
      <c r="B566" t="s">
        <v>632</v>
      </c>
      <c r="C566" s="1">
        <v>4568</v>
      </c>
      <c r="F566" s="1">
        <v>4</v>
      </c>
      <c r="G566" s="1">
        <v>5</v>
      </c>
      <c r="H566" s="1">
        <v>9</v>
      </c>
      <c r="I566" s="1">
        <v>0</v>
      </c>
      <c r="J566" s="1">
        <v>16</v>
      </c>
      <c r="K566" s="1">
        <v>700</v>
      </c>
      <c r="L566" s="1">
        <v>716</v>
      </c>
      <c r="M566" s="6">
        <f>(Table2[[#This Row],[Grand Total of Lead Service Lines Replaced]]/(Table2[[#This Row],[Total to be identified or replaced]]+Table2[[#This Row],[Grand Total of Lead Service Lines Replaced]]))</f>
        <v>1.2413793103448275E-2</v>
      </c>
      <c r="N566" s="1">
        <v>1140</v>
      </c>
      <c r="O566" s="1">
        <v>1856</v>
      </c>
      <c r="P566" t="s">
        <v>2778</v>
      </c>
      <c r="Q56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66" s="1" t="s">
        <v>2783</v>
      </c>
    </row>
    <row r="567" spans="1:18" x14ac:dyDescent="0.25">
      <c r="A567" t="s">
        <v>1580</v>
      </c>
      <c r="B567" t="s">
        <v>1581</v>
      </c>
      <c r="C567" s="1">
        <v>26100</v>
      </c>
      <c r="E567" s="1">
        <v>2</v>
      </c>
      <c r="H567" s="1">
        <v>2</v>
      </c>
      <c r="I567" s="1">
        <v>0</v>
      </c>
      <c r="J567" s="1">
        <v>0</v>
      </c>
      <c r="K567" s="1">
        <v>0</v>
      </c>
      <c r="L567" s="1">
        <v>0</v>
      </c>
      <c r="M567" s="6">
        <f>(Table2[[#This Row],[Grand Total of Lead Service Lines Replaced]]/(Table2[[#This Row],[Total to be identified or replaced]]+Table2[[#This Row],[Grand Total of Lead Service Lines Replaced]]))</f>
        <v>1</v>
      </c>
      <c r="N567" s="1">
        <v>13078</v>
      </c>
      <c r="O567" s="1">
        <v>13078</v>
      </c>
      <c r="P567" t="s">
        <v>2778</v>
      </c>
      <c r="Q567" t="s">
        <v>2785</v>
      </c>
      <c r="R567" s="7" t="s">
        <v>2786</v>
      </c>
    </row>
    <row r="568" spans="1:18" x14ac:dyDescent="0.25">
      <c r="A568" t="s">
        <v>1582</v>
      </c>
      <c r="B568" t="s">
        <v>1583</v>
      </c>
      <c r="C568" s="1">
        <v>435</v>
      </c>
      <c r="I568" s="1">
        <v>0</v>
      </c>
      <c r="J568" s="1">
        <v>0</v>
      </c>
      <c r="K568" s="1">
        <v>0</v>
      </c>
      <c r="L568" s="1">
        <v>0</v>
      </c>
      <c r="M568" s="6" t="s">
        <v>2784</v>
      </c>
      <c r="N568" s="1">
        <v>313</v>
      </c>
      <c r="O568" s="1">
        <v>313</v>
      </c>
      <c r="P568" t="s">
        <v>2778</v>
      </c>
      <c r="Q56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68" s="1" t="s">
        <v>2779</v>
      </c>
    </row>
    <row r="569" spans="1:18" x14ac:dyDescent="0.25">
      <c r="A569" t="s">
        <v>221</v>
      </c>
      <c r="B569" t="s">
        <v>222</v>
      </c>
      <c r="C569" s="1">
        <v>30</v>
      </c>
      <c r="I569" s="1" t="s">
        <v>16</v>
      </c>
      <c r="M569" s="6" t="s">
        <v>2784</v>
      </c>
      <c r="P569" t="s">
        <v>2778</v>
      </c>
      <c r="Q569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569" s="1" t="s">
        <v>2782</v>
      </c>
    </row>
    <row r="570" spans="1:18" x14ac:dyDescent="0.25">
      <c r="A570" t="s">
        <v>1584</v>
      </c>
      <c r="B570" t="s">
        <v>1585</v>
      </c>
      <c r="C570" s="1">
        <v>34</v>
      </c>
      <c r="I570" s="1">
        <v>0</v>
      </c>
      <c r="J570" s="1">
        <v>0</v>
      </c>
      <c r="K570" s="1">
        <v>0</v>
      </c>
      <c r="L570" s="1">
        <v>0</v>
      </c>
      <c r="M570" s="6" t="s">
        <v>2784</v>
      </c>
      <c r="N570" s="1">
        <v>18</v>
      </c>
      <c r="O570" s="1">
        <v>18</v>
      </c>
      <c r="P570" t="s">
        <v>2778</v>
      </c>
      <c r="Q57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70" s="1" t="s">
        <v>2779</v>
      </c>
    </row>
    <row r="571" spans="1:18" x14ac:dyDescent="0.25">
      <c r="A571" t="s">
        <v>1586</v>
      </c>
      <c r="B571" t="s">
        <v>1587</v>
      </c>
      <c r="C571" s="1">
        <v>100</v>
      </c>
      <c r="I571" s="1">
        <v>0</v>
      </c>
      <c r="J571" s="1">
        <v>0</v>
      </c>
      <c r="K571" s="1">
        <v>0</v>
      </c>
      <c r="L571" s="1">
        <v>0</v>
      </c>
      <c r="M571" s="6" t="s">
        <v>2784</v>
      </c>
      <c r="N571" s="1">
        <v>58</v>
      </c>
      <c r="O571" s="1">
        <v>58</v>
      </c>
      <c r="P571" t="s">
        <v>2778</v>
      </c>
      <c r="Q57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71" s="1" t="s">
        <v>2779</v>
      </c>
    </row>
    <row r="572" spans="1:18" x14ac:dyDescent="0.25">
      <c r="A572" t="s">
        <v>191</v>
      </c>
      <c r="B572" t="s">
        <v>192</v>
      </c>
      <c r="C572" s="1">
        <v>50</v>
      </c>
      <c r="I572" s="1" t="s">
        <v>16</v>
      </c>
      <c r="M572" s="6" t="s">
        <v>2784</v>
      </c>
      <c r="P572" t="s">
        <v>2778</v>
      </c>
      <c r="Q572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572" s="1" t="s">
        <v>2782</v>
      </c>
    </row>
    <row r="573" spans="1:18" x14ac:dyDescent="0.25">
      <c r="A573" t="s">
        <v>1588</v>
      </c>
      <c r="B573" t="s">
        <v>1589</v>
      </c>
      <c r="C573" s="1">
        <v>3097</v>
      </c>
      <c r="I573" s="1">
        <v>0</v>
      </c>
      <c r="J573" s="1">
        <v>0</v>
      </c>
      <c r="K573" s="1">
        <v>0</v>
      </c>
      <c r="L573" s="1">
        <v>0</v>
      </c>
      <c r="M573" s="6" t="s">
        <v>2784</v>
      </c>
      <c r="N573" s="1">
        <v>1335</v>
      </c>
      <c r="O573" s="1">
        <v>1335</v>
      </c>
      <c r="P573" t="s">
        <v>2778</v>
      </c>
      <c r="Q5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73" s="1" t="s">
        <v>2779</v>
      </c>
    </row>
    <row r="574" spans="1:18" x14ac:dyDescent="0.25">
      <c r="A574" t="s">
        <v>1592</v>
      </c>
      <c r="B574" t="s">
        <v>1593</v>
      </c>
      <c r="C574" s="1">
        <v>84</v>
      </c>
      <c r="I574" s="1">
        <v>0</v>
      </c>
      <c r="J574" s="1">
        <v>0</v>
      </c>
      <c r="K574" s="1">
        <v>0</v>
      </c>
      <c r="L574" s="1">
        <v>0</v>
      </c>
      <c r="M574" s="6" t="s">
        <v>2784</v>
      </c>
      <c r="N574" s="1">
        <v>17</v>
      </c>
      <c r="O574" s="1">
        <v>17</v>
      </c>
      <c r="P574" t="s">
        <v>2778</v>
      </c>
      <c r="Q57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74" s="1" t="s">
        <v>2779</v>
      </c>
    </row>
    <row r="575" spans="1:18" x14ac:dyDescent="0.25">
      <c r="A575" t="s">
        <v>1594</v>
      </c>
      <c r="B575" t="s">
        <v>1595</v>
      </c>
      <c r="C575" s="1">
        <v>1365</v>
      </c>
      <c r="I575" s="1">
        <v>0</v>
      </c>
      <c r="J575" s="1">
        <v>0</v>
      </c>
      <c r="K575" s="1">
        <v>0</v>
      </c>
      <c r="L575" s="1">
        <v>0</v>
      </c>
      <c r="M575" s="6" t="s">
        <v>2784</v>
      </c>
      <c r="N575" s="1">
        <v>203</v>
      </c>
      <c r="O575" s="1">
        <v>203</v>
      </c>
      <c r="P575" t="s">
        <v>2778</v>
      </c>
      <c r="Q57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75" s="1" t="s">
        <v>2779</v>
      </c>
    </row>
    <row r="576" spans="1:18" x14ac:dyDescent="0.25">
      <c r="A576" t="s">
        <v>1042</v>
      </c>
      <c r="B576" t="s">
        <v>1043</v>
      </c>
      <c r="C576" s="1">
        <v>62</v>
      </c>
      <c r="I576" s="1">
        <v>0</v>
      </c>
      <c r="J576" s="1">
        <v>0</v>
      </c>
      <c r="K576" s="1">
        <v>0</v>
      </c>
      <c r="L576" s="1">
        <v>0</v>
      </c>
      <c r="M576" s="6" t="s">
        <v>2784</v>
      </c>
      <c r="N576" s="1">
        <v>9</v>
      </c>
      <c r="O576" s="1">
        <v>9</v>
      </c>
      <c r="P576">
        <v>2022</v>
      </c>
      <c r="Q57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76" s="1" t="s">
        <v>2779</v>
      </c>
    </row>
    <row r="577" spans="1:18" x14ac:dyDescent="0.25">
      <c r="A577" t="s">
        <v>1598</v>
      </c>
      <c r="B577" t="s">
        <v>1599</v>
      </c>
      <c r="C577" s="1">
        <v>25</v>
      </c>
      <c r="I577" s="1">
        <v>0</v>
      </c>
      <c r="J577" s="1">
        <v>0</v>
      </c>
      <c r="K577" s="1">
        <v>0</v>
      </c>
      <c r="L577" s="1">
        <v>0</v>
      </c>
      <c r="M577" s="6" t="s">
        <v>2784</v>
      </c>
      <c r="N577" s="1">
        <v>1</v>
      </c>
      <c r="O577" s="1">
        <v>1</v>
      </c>
      <c r="P577" t="s">
        <v>2778</v>
      </c>
      <c r="Q57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77" s="1" t="s">
        <v>2779</v>
      </c>
    </row>
    <row r="578" spans="1:18" x14ac:dyDescent="0.25">
      <c r="A578" t="s">
        <v>1600</v>
      </c>
      <c r="B578" t="s">
        <v>1601</v>
      </c>
      <c r="C578" s="1">
        <v>60</v>
      </c>
      <c r="I578" s="1">
        <v>0</v>
      </c>
      <c r="J578" s="1">
        <v>0</v>
      </c>
      <c r="K578" s="1">
        <v>0</v>
      </c>
      <c r="L578" s="1">
        <v>0</v>
      </c>
      <c r="M578" s="6" t="s">
        <v>2784</v>
      </c>
      <c r="N578" s="1">
        <v>30</v>
      </c>
      <c r="O578" s="1">
        <v>30</v>
      </c>
      <c r="P578" t="s">
        <v>2778</v>
      </c>
      <c r="Q57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78" s="1" t="s">
        <v>2779</v>
      </c>
    </row>
    <row r="579" spans="1:18" x14ac:dyDescent="0.25">
      <c r="A579" t="s">
        <v>1604</v>
      </c>
      <c r="B579" t="s">
        <v>1605</v>
      </c>
      <c r="C579" s="1">
        <v>8386</v>
      </c>
      <c r="I579" s="1">
        <v>0</v>
      </c>
      <c r="J579" s="1">
        <v>0</v>
      </c>
      <c r="K579" s="1">
        <v>0</v>
      </c>
      <c r="L579" s="1">
        <v>0</v>
      </c>
      <c r="M579" s="6" t="s">
        <v>2784</v>
      </c>
      <c r="N579" s="1">
        <v>1843</v>
      </c>
      <c r="O579" s="1">
        <v>1843</v>
      </c>
      <c r="P579" t="s">
        <v>2778</v>
      </c>
      <c r="Q5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79" s="1" t="s">
        <v>2779</v>
      </c>
    </row>
    <row r="580" spans="1:18" x14ac:dyDescent="0.25">
      <c r="A580" t="s">
        <v>1606</v>
      </c>
      <c r="B580" t="s">
        <v>1607</v>
      </c>
      <c r="C580" s="1">
        <v>50</v>
      </c>
      <c r="I580" s="1">
        <v>0</v>
      </c>
      <c r="J580" s="1">
        <v>0</v>
      </c>
      <c r="K580" s="1">
        <v>0</v>
      </c>
      <c r="L580" s="1">
        <v>0</v>
      </c>
      <c r="M580" s="6" t="s">
        <v>2784</v>
      </c>
      <c r="N580" s="1">
        <v>50</v>
      </c>
      <c r="O580" s="1">
        <v>50</v>
      </c>
      <c r="P580" t="s">
        <v>2778</v>
      </c>
      <c r="Q58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80" s="1" t="s">
        <v>2779</v>
      </c>
    </row>
    <row r="581" spans="1:18" x14ac:dyDescent="0.25">
      <c r="A581" t="s">
        <v>1608</v>
      </c>
      <c r="B581" t="s">
        <v>1609</v>
      </c>
      <c r="C581" s="1">
        <v>50</v>
      </c>
      <c r="I581" s="1">
        <v>0</v>
      </c>
      <c r="J581" s="1">
        <v>0</v>
      </c>
      <c r="K581" s="1">
        <v>0</v>
      </c>
      <c r="L581" s="1">
        <v>0</v>
      </c>
      <c r="M581" s="6" t="s">
        <v>2784</v>
      </c>
      <c r="N581" s="1">
        <v>4</v>
      </c>
      <c r="O581" s="1">
        <v>4</v>
      </c>
      <c r="P581" t="s">
        <v>2778</v>
      </c>
      <c r="Q5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81" s="1" t="s">
        <v>2779</v>
      </c>
    </row>
    <row r="582" spans="1:18" x14ac:dyDescent="0.25">
      <c r="A582" t="s">
        <v>1610</v>
      </c>
      <c r="B582" t="s">
        <v>1611</v>
      </c>
      <c r="C582" s="1">
        <v>48</v>
      </c>
      <c r="I582" s="1">
        <v>0</v>
      </c>
      <c r="J582" s="1">
        <v>0</v>
      </c>
      <c r="K582" s="1">
        <v>0</v>
      </c>
      <c r="L582" s="1">
        <v>0</v>
      </c>
      <c r="M582" s="6" t="s">
        <v>2784</v>
      </c>
      <c r="N582" s="1">
        <v>1</v>
      </c>
      <c r="O582" s="1">
        <v>1</v>
      </c>
      <c r="P582" t="s">
        <v>2778</v>
      </c>
      <c r="Q58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82" s="1" t="s">
        <v>2779</v>
      </c>
    </row>
    <row r="583" spans="1:18" x14ac:dyDescent="0.25">
      <c r="A583" t="s">
        <v>1612</v>
      </c>
      <c r="B583" t="s">
        <v>1613</v>
      </c>
      <c r="C583" s="1">
        <v>138</v>
      </c>
      <c r="I583" s="1">
        <v>0</v>
      </c>
      <c r="J583" s="1">
        <v>0</v>
      </c>
      <c r="K583" s="1">
        <v>0</v>
      </c>
      <c r="L583" s="1">
        <v>0</v>
      </c>
      <c r="M583" s="6" t="s">
        <v>2784</v>
      </c>
      <c r="N583" s="1">
        <v>66</v>
      </c>
      <c r="O583" s="1">
        <v>66</v>
      </c>
      <c r="P583" t="s">
        <v>2778</v>
      </c>
      <c r="Q58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83" s="1" t="s">
        <v>2779</v>
      </c>
    </row>
    <row r="584" spans="1:18" x14ac:dyDescent="0.25">
      <c r="A584" t="s">
        <v>901</v>
      </c>
      <c r="B584" t="s">
        <v>902</v>
      </c>
      <c r="C584" s="1">
        <v>1417</v>
      </c>
      <c r="G584" s="1">
        <v>4</v>
      </c>
      <c r="H584" s="1">
        <v>4</v>
      </c>
      <c r="I584" s="1">
        <v>3</v>
      </c>
      <c r="J584" s="1">
        <v>288</v>
      </c>
      <c r="K584" s="1">
        <v>0</v>
      </c>
      <c r="L584" s="1">
        <v>291</v>
      </c>
      <c r="M584" s="6">
        <f>(Table2[[#This Row],[Grand Total of Lead Service Lines Replaced]]/(Table2[[#This Row],[Total to be identified or replaced]]+Table2[[#This Row],[Grand Total of Lead Service Lines Replaced]]))</f>
        <v>1.3559322033898305E-2</v>
      </c>
      <c r="N584" s="1">
        <v>212</v>
      </c>
      <c r="O584" s="1">
        <v>503</v>
      </c>
      <c r="P584" t="s">
        <v>2778</v>
      </c>
      <c r="Q58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84" s="1" t="s">
        <v>2783</v>
      </c>
    </row>
    <row r="585" spans="1:18" x14ac:dyDescent="0.25">
      <c r="A585" t="s">
        <v>1040</v>
      </c>
      <c r="B585" t="s">
        <v>1041</v>
      </c>
      <c r="C585" s="1">
        <v>3579</v>
      </c>
      <c r="D585" s="1">
        <v>3</v>
      </c>
      <c r="H585" s="1">
        <v>3</v>
      </c>
      <c r="I585" s="1">
        <v>20</v>
      </c>
      <c r="J585" s="1">
        <v>11</v>
      </c>
      <c r="K585" s="1">
        <v>185</v>
      </c>
      <c r="L585" s="1">
        <v>216</v>
      </c>
      <c r="M585" s="6">
        <f>(Table2[[#This Row],[Grand Total of Lead Service Lines Replaced]]/(Table2[[#This Row],[Total to be identified or replaced]]+Table2[[#This Row],[Grand Total of Lead Service Lines Replaced]]))</f>
        <v>1.3698630136986301E-2</v>
      </c>
      <c r="N585" s="1">
        <v>939</v>
      </c>
      <c r="O585" s="1">
        <v>1155</v>
      </c>
      <c r="P585" t="s">
        <v>2778</v>
      </c>
      <c r="Q58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85" s="1" t="s">
        <v>2783</v>
      </c>
    </row>
    <row r="586" spans="1:18" x14ac:dyDescent="0.25">
      <c r="A586" t="s">
        <v>403</v>
      </c>
      <c r="B586" t="s">
        <v>404</v>
      </c>
      <c r="C586" s="1">
        <v>5340</v>
      </c>
      <c r="D586" s="1">
        <v>7</v>
      </c>
      <c r="E586" s="1">
        <v>6</v>
      </c>
      <c r="F586" s="1">
        <v>7</v>
      </c>
      <c r="G586" s="1">
        <v>7</v>
      </c>
      <c r="H586" s="1">
        <v>27</v>
      </c>
      <c r="I586" s="1">
        <v>1469</v>
      </c>
      <c r="J586" s="1">
        <v>0</v>
      </c>
      <c r="K586" s="1">
        <v>446</v>
      </c>
      <c r="L586" s="1">
        <v>1915</v>
      </c>
      <c r="M586" s="6">
        <f>(Table2[[#This Row],[Grand Total of Lead Service Lines Replaced]]/(Table2[[#This Row],[Total to be identified or replaced]]+Table2[[#This Row],[Grand Total of Lead Service Lines Replaced]]))</f>
        <v>1.3903192584963954E-2</v>
      </c>
      <c r="N586" s="1">
        <v>451</v>
      </c>
      <c r="O586" s="1">
        <v>2366</v>
      </c>
      <c r="P586" t="s">
        <v>2778</v>
      </c>
      <c r="Q58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86" s="1" t="s">
        <v>2783</v>
      </c>
    </row>
    <row r="587" spans="1:18" x14ac:dyDescent="0.25">
      <c r="A587" t="s">
        <v>1614</v>
      </c>
      <c r="B587" t="s">
        <v>1615</v>
      </c>
      <c r="C587" s="1">
        <v>7708</v>
      </c>
      <c r="I587" s="1">
        <v>0</v>
      </c>
      <c r="J587" s="1">
        <v>0</v>
      </c>
      <c r="K587" s="1">
        <v>0</v>
      </c>
      <c r="L587" s="1">
        <v>0</v>
      </c>
      <c r="M587" s="6" t="s">
        <v>2784</v>
      </c>
      <c r="N587" s="1">
        <v>2306</v>
      </c>
      <c r="O587" s="1">
        <v>2306</v>
      </c>
      <c r="P587" t="s">
        <v>2778</v>
      </c>
      <c r="Q58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87" s="1" t="s">
        <v>2779</v>
      </c>
    </row>
    <row r="588" spans="1:18" x14ac:dyDescent="0.25">
      <c r="A588" t="s">
        <v>467</v>
      </c>
      <c r="B588" t="s">
        <v>468</v>
      </c>
      <c r="C588" s="1">
        <v>5485</v>
      </c>
      <c r="F588" s="1">
        <v>7</v>
      </c>
      <c r="G588" s="1">
        <v>14</v>
      </c>
      <c r="H588" s="1">
        <v>21</v>
      </c>
      <c r="I588" s="1">
        <v>0</v>
      </c>
      <c r="J588" s="1">
        <v>73</v>
      </c>
      <c r="K588" s="1">
        <v>1376</v>
      </c>
      <c r="L588" s="1">
        <v>1449</v>
      </c>
      <c r="M588" s="6">
        <f>(Table2[[#This Row],[Grand Total of Lead Service Lines Replaced]]/(Table2[[#This Row],[Total to be identified or replaced]]+Table2[[#This Row],[Grand Total of Lead Service Lines Replaced]]))</f>
        <v>1.4285714285714285E-2</v>
      </c>
      <c r="N588" s="1">
        <v>955</v>
      </c>
      <c r="O588" s="1">
        <v>2404</v>
      </c>
      <c r="P588" t="s">
        <v>2778</v>
      </c>
      <c r="Q58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88" s="1" t="s">
        <v>2783</v>
      </c>
    </row>
    <row r="589" spans="1:18" x14ac:dyDescent="0.25">
      <c r="A589" t="s">
        <v>1618</v>
      </c>
      <c r="B589" t="s">
        <v>1619</v>
      </c>
      <c r="C589" s="1">
        <v>700</v>
      </c>
      <c r="I589" s="1">
        <v>0</v>
      </c>
      <c r="J589" s="1">
        <v>0</v>
      </c>
      <c r="K589" s="1">
        <v>0</v>
      </c>
      <c r="L589" s="1">
        <v>0</v>
      </c>
      <c r="M589" s="6" t="s">
        <v>2784</v>
      </c>
      <c r="N589" s="1">
        <v>425</v>
      </c>
      <c r="O589" s="1">
        <v>425</v>
      </c>
      <c r="P589" t="s">
        <v>2778</v>
      </c>
      <c r="Q58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89" s="1" t="s">
        <v>2779</v>
      </c>
    </row>
    <row r="590" spans="1:18" x14ac:dyDescent="0.25">
      <c r="A590" t="s">
        <v>1620</v>
      </c>
      <c r="B590" t="s">
        <v>1621</v>
      </c>
      <c r="C590" s="1">
        <v>6200</v>
      </c>
      <c r="D590" s="1">
        <v>27</v>
      </c>
      <c r="E590" s="1">
        <v>4</v>
      </c>
      <c r="H590" s="1">
        <v>31</v>
      </c>
      <c r="I590" s="1">
        <v>0</v>
      </c>
      <c r="J590" s="1">
        <v>0</v>
      </c>
      <c r="K590" s="1">
        <v>0</v>
      </c>
      <c r="L590" s="1">
        <v>0</v>
      </c>
      <c r="M590" s="6">
        <f>(Table2[[#This Row],[Grand Total of Lead Service Lines Replaced]]/(Table2[[#This Row],[Total to be identified or replaced]]+Table2[[#This Row],[Grand Total of Lead Service Lines Replaced]]))</f>
        <v>1</v>
      </c>
      <c r="N590" s="1">
        <v>2499</v>
      </c>
      <c r="O590" s="1">
        <v>2499</v>
      </c>
      <c r="P590" t="s">
        <v>2778</v>
      </c>
      <c r="Q590" t="s">
        <v>2785</v>
      </c>
      <c r="R590" s="7" t="s">
        <v>2786</v>
      </c>
    </row>
    <row r="591" spans="1:18" x14ac:dyDescent="0.25">
      <c r="A591" t="s">
        <v>1622</v>
      </c>
      <c r="B591" t="s">
        <v>1623</v>
      </c>
      <c r="C591" s="1">
        <v>288</v>
      </c>
      <c r="L591" s="1">
        <v>0</v>
      </c>
      <c r="M591" s="6" t="s">
        <v>2784</v>
      </c>
      <c r="N591" s="1">
        <v>118</v>
      </c>
      <c r="O591" s="1">
        <v>118</v>
      </c>
      <c r="P591" t="s">
        <v>2778</v>
      </c>
      <c r="Q59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91" s="1" t="s">
        <v>2779</v>
      </c>
    </row>
    <row r="592" spans="1:18" x14ac:dyDescent="0.25">
      <c r="A592" t="s">
        <v>1624</v>
      </c>
      <c r="B592" t="s">
        <v>1625</v>
      </c>
      <c r="C592" s="1">
        <v>140</v>
      </c>
      <c r="I592" s="1">
        <v>0</v>
      </c>
      <c r="J592" s="1">
        <v>0</v>
      </c>
      <c r="L592" s="1">
        <v>0</v>
      </c>
      <c r="M592" s="6" t="s">
        <v>2784</v>
      </c>
      <c r="N592" s="1">
        <v>66</v>
      </c>
      <c r="O592" s="1">
        <v>66</v>
      </c>
      <c r="P592" t="s">
        <v>2778</v>
      </c>
      <c r="Q59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92" s="1" t="s">
        <v>2779</v>
      </c>
    </row>
    <row r="593" spans="1:18" x14ac:dyDescent="0.25">
      <c r="A593" t="s">
        <v>1626</v>
      </c>
      <c r="B593" t="s">
        <v>1627</v>
      </c>
      <c r="C593" s="1">
        <v>175</v>
      </c>
      <c r="I593" s="1">
        <v>0</v>
      </c>
      <c r="J593" s="1">
        <v>0</v>
      </c>
      <c r="K593" s="1">
        <v>0</v>
      </c>
      <c r="L593" s="1">
        <v>0</v>
      </c>
      <c r="M593" s="6" t="s">
        <v>2784</v>
      </c>
      <c r="N593" s="1">
        <v>68</v>
      </c>
      <c r="O593" s="1">
        <v>68</v>
      </c>
      <c r="P593" t="s">
        <v>2778</v>
      </c>
      <c r="Q59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93" s="1" t="s">
        <v>2779</v>
      </c>
    </row>
    <row r="594" spans="1:18" x14ac:dyDescent="0.25">
      <c r="A594" t="s">
        <v>23</v>
      </c>
      <c r="B594" t="s">
        <v>24</v>
      </c>
      <c r="C594" s="1">
        <v>8557</v>
      </c>
      <c r="I594" s="1" t="s">
        <v>16</v>
      </c>
      <c r="M594" s="6" t="s">
        <v>2784</v>
      </c>
      <c r="P594" t="s">
        <v>2778</v>
      </c>
      <c r="Q594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594" s="1" t="s">
        <v>2782</v>
      </c>
    </row>
    <row r="595" spans="1:18" x14ac:dyDescent="0.25">
      <c r="A595" t="s">
        <v>43</v>
      </c>
      <c r="B595" t="s">
        <v>44</v>
      </c>
      <c r="C595" s="1">
        <v>1668</v>
      </c>
      <c r="I595" s="1" t="s">
        <v>16</v>
      </c>
      <c r="M595" s="6" t="s">
        <v>2784</v>
      </c>
      <c r="P595" t="s">
        <v>2778</v>
      </c>
      <c r="Q595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595" s="1" t="s">
        <v>2782</v>
      </c>
    </row>
    <row r="596" spans="1:18" x14ac:dyDescent="0.25">
      <c r="A596" t="s">
        <v>1628</v>
      </c>
      <c r="B596" t="s">
        <v>1629</v>
      </c>
      <c r="C596" s="1">
        <v>437</v>
      </c>
      <c r="I596" s="1">
        <v>0</v>
      </c>
      <c r="J596" s="1">
        <v>0</v>
      </c>
      <c r="K596" s="1">
        <v>0</v>
      </c>
      <c r="L596" s="1">
        <v>0</v>
      </c>
      <c r="M596" s="6" t="s">
        <v>2784</v>
      </c>
      <c r="N596" s="1">
        <v>259</v>
      </c>
      <c r="O596" s="1">
        <v>259</v>
      </c>
      <c r="P596" t="s">
        <v>2778</v>
      </c>
      <c r="Q59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96" s="1" t="s">
        <v>2779</v>
      </c>
    </row>
    <row r="597" spans="1:18" x14ac:dyDescent="0.25">
      <c r="A597" t="s">
        <v>507</v>
      </c>
      <c r="B597" t="s">
        <v>508</v>
      </c>
      <c r="C597" s="1">
        <v>47299</v>
      </c>
      <c r="D597" s="1">
        <v>3</v>
      </c>
      <c r="E597" s="1">
        <v>3</v>
      </c>
      <c r="F597" s="1">
        <v>4</v>
      </c>
      <c r="G597" s="1">
        <v>8</v>
      </c>
      <c r="H597" s="1">
        <v>18</v>
      </c>
      <c r="I597" s="1">
        <v>108</v>
      </c>
      <c r="J597" s="1">
        <v>127</v>
      </c>
      <c r="K597" s="1">
        <v>983</v>
      </c>
      <c r="L597" s="1">
        <v>1218</v>
      </c>
      <c r="M597" s="6">
        <f>(Table2[[#This Row],[Grand Total of Lead Service Lines Replaced]]/(Table2[[#This Row],[Total to be identified or replaced]]+Table2[[#This Row],[Grand Total of Lead Service Lines Replaced]]))</f>
        <v>1.4563106796116505E-2</v>
      </c>
      <c r="N597" s="1">
        <v>17285</v>
      </c>
      <c r="O597" s="1">
        <v>18503</v>
      </c>
      <c r="P597" t="s">
        <v>2778</v>
      </c>
      <c r="Q59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97" s="1" t="s">
        <v>2783</v>
      </c>
    </row>
    <row r="598" spans="1:18" x14ac:dyDescent="0.25">
      <c r="A598" t="s">
        <v>1726</v>
      </c>
      <c r="B598" t="s">
        <v>1727</v>
      </c>
      <c r="C598" s="1">
        <v>450</v>
      </c>
      <c r="G598" s="1">
        <v>1</v>
      </c>
      <c r="H598" s="1">
        <v>1</v>
      </c>
      <c r="I598" s="1">
        <v>0</v>
      </c>
      <c r="J598" s="1">
        <v>0</v>
      </c>
      <c r="K598" s="1">
        <v>64</v>
      </c>
      <c r="L598" s="1">
        <v>64</v>
      </c>
      <c r="M598" s="6">
        <f>(Table2[[#This Row],[Grand Total of Lead Service Lines Replaced]]/(Table2[[#This Row],[Total to be identified or replaced]]+Table2[[#This Row],[Grand Total of Lead Service Lines Replaced]]))</f>
        <v>1.5384615384615385E-2</v>
      </c>
      <c r="N598" s="1">
        <v>168</v>
      </c>
      <c r="O598" s="1">
        <v>232</v>
      </c>
      <c r="P598" t="s">
        <v>2778</v>
      </c>
      <c r="Q59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598" s="1" t="s">
        <v>2783</v>
      </c>
    </row>
    <row r="599" spans="1:18" x14ac:dyDescent="0.25">
      <c r="A599" t="s">
        <v>1632</v>
      </c>
      <c r="B599" t="s">
        <v>1633</v>
      </c>
      <c r="C599" s="1">
        <v>158</v>
      </c>
      <c r="I599" s="1">
        <v>0</v>
      </c>
      <c r="J599" s="1">
        <v>0</v>
      </c>
      <c r="K599" s="1">
        <v>0</v>
      </c>
      <c r="L599" s="1">
        <v>0</v>
      </c>
      <c r="M599" s="6" t="s">
        <v>2784</v>
      </c>
      <c r="N599" s="1">
        <v>63</v>
      </c>
      <c r="O599" s="1">
        <v>63</v>
      </c>
      <c r="P599" t="s">
        <v>2778</v>
      </c>
      <c r="Q5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599" s="1" t="s">
        <v>2779</v>
      </c>
    </row>
    <row r="600" spans="1:18" x14ac:dyDescent="0.25">
      <c r="A600" t="s">
        <v>1634</v>
      </c>
      <c r="B600" t="s">
        <v>1635</v>
      </c>
      <c r="C600" s="1">
        <v>266</v>
      </c>
      <c r="I600" s="1">
        <v>0</v>
      </c>
      <c r="J600" s="1">
        <v>0</v>
      </c>
      <c r="K600" s="1">
        <v>0</v>
      </c>
      <c r="L600" s="1">
        <v>0</v>
      </c>
      <c r="M600" s="6" t="s">
        <v>2784</v>
      </c>
      <c r="N600" s="1">
        <v>167</v>
      </c>
      <c r="O600" s="1">
        <v>167</v>
      </c>
      <c r="P600" t="s">
        <v>2778</v>
      </c>
      <c r="Q60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00" s="1" t="s">
        <v>2779</v>
      </c>
    </row>
    <row r="601" spans="1:18" x14ac:dyDescent="0.25">
      <c r="A601" t="s">
        <v>1638</v>
      </c>
      <c r="B601" t="s">
        <v>1639</v>
      </c>
      <c r="C601" s="1">
        <v>27</v>
      </c>
      <c r="I601" s="1">
        <v>0</v>
      </c>
      <c r="J601" s="1">
        <v>0</v>
      </c>
      <c r="K601" s="1">
        <v>0</v>
      </c>
      <c r="L601" s="1">
        <v>0</v>
      </c>
      <c r="M601" s="6" t="s">
        <v>2784</v>
      </c>
      <c r="N601" s="1">
        <v>24</v>
      </c>
      <c r="O601" s="1">
        <v>24</v>
      </c>
      <c r="P601" t="s">
        <v>2778</v>
      </c>
      <c r="Q60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01" s="1" t="s">
        <v>2779</v>
      </c>
    </row>
    <row r="602" spans="1:18" x14ac:dyDescent="0.25">
      <c r="A602" t="s">
        <v>461</v>
      </c>
      <c r="B602" t="s">
        <v>462</v>
      </c>
      <c r="C602" s="1">
        <v>10451</v>
      </c>
      <c r="G602" s="1">
        <v>2</v>
      </c>
      <c r="H602" s="1">
        <v>2</v>
      </c>
      <c r="I602" s="1">
        <v>0</v>
      </c>
      <c r="J602" s="1">
        <v>2</v>
      </c>
      <c r="K602" s="1">
        <v>125</v>
      </c>
      <c r="L602" s="1">
        <v>127</v>
      </c>
      <c r="M602" s="6">
        <f>(Table2[[#This Row],[Grand Total of Lead Service Lines Replaced]]/(Table2[[#This Row],[Total to be identified or replaced]]+Table2[[#This Row],[Grand Total of Lead Service Lines Replaced]]))</f>
        <v>1.5503875968992248E-2</v>
      </c>
      <c r="N602" s="1">
        <v>3916</v>
      </c>
      <c r="O602" s="1">
        <v>4043</v>
      </c>
      <c r="P602">
        <v>2017</v>
      </c>
      <c r="Q60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02" s="1" t="s">
        <v>2783</v>
      </c>
    </row>
    <row r="603" spans="1:18" x14ac:dyDescent="0.25">
      <c r="A603" t="s">
        <v>459</v>
      </c>
      <c r="B603" t="s">
        <v>460</v>
      </c>
      <c r="C603" s="1">
        <v>3314</v>
      </c>
      <c r="D603" s="1">
        <v>8</v>
      </c>
      <c r="E603" s="1">
        <v>6</v>
      </c>
      <c r="F603" s="1">
        <v>6</v>
      </c>
      <c r="G603" s="1">
        <v>5</v>
      </c>
      <c r="H603" s="1">
        <v>25</v>
      </c>
      <c r="I603" s="1">
        <v>2</v>
      </c>
      <c r="J603" s="1">
        <v>271</v>
      </c>
      <c r="K603" s="1">
        <v>1220</v>
      </c>
      <c r="L603" s="1">
        <v>1493</v>
      </c>
      <c r="M603" s="6">
        <f>(Table2[[#This Row],[Grand Total of Lead Service Lines Replaced]]/(Table2[[#This Row],[Total to be identified or replaced]]+Table2[[#This Row],[Grand Total of Lead Service Lines Replaced]]))</f>
        <v>1.6469038208168644E-2</v>
      </c>
      <c r="N603" s="1">
        <v>33</v>
      </c>
      <c r="O603" s="1">
        <v>1526</v>
      </c>
      <c r="P603" t="s">
        <v>2778</v>
      </c>
      <c r="Q60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03" s="1" t="s">
        <v>2783</v>
      </c>
    </row>
    <row r="604" spans="1:18" x14ac:dyDescent="0.25">
      <c r="A604" t="s">
        <v>1640</v>
      </c>
      <c r="B604" t="s">
        <v>1641</v>
      </c>
      <c r="C604" s="1">
        <v>88</v>
      </c>
      <c r="I604" s="1">
        <v>0</v>
      </c>
      <c r="J604" s="1">
        <v>0</v>
      </c>
      <c r="K604" s="1">
        <v>0</v>
      </c>
      <c r="L604" s="1">
        <v>0</v>
      </c>
      <c r="M604" s="6" t="s">
        <v>2784</v>
      </c>
      <c r="N604" s="1">
        <v>35</v>
      </c>
      <c r="O604" s="1">
        <v>35</v>
      </c>
      <c r="P604" t="s">
        <v>2778</v>
      </c>
      <c r="Q60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04" s="1" t="s">
        <v>2779</v>
      </c>
    </row>
    <row r="605" spans="1:18" x14ac:dyDescent="0.25">
      <c r="A605" t="s">
        <v>1642</v>
      </c>
      <c r="B605" t="s">
        <v>1643</v>
      </c>
      <c r="C605" s="1">
        <v>28</v>
      </c>
      <c r="J605" s="1">
        <v>0</v>
      </c>
      <c r="K605" s="1">
        <v>0</v>
      </c>
      <c r="L605" s="1">
        <v>0</v>
      </c>
      <c r="M605" s="6" t="s">
        <v>2784</v>
      </c>
      <c r="N605" s="1">
        <v>20</v>
      </c>
      <c r="O605" s="1">
        <v>20</v>
      </c>
      <c r="P605" t="s">
        <v>2778</v>
      </c>
      <c r="Q60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05" s="1" t="s">
        <v>2779</v>
      </c>
    </row>
    <row r="606" spans="1:18" x14ac:dyDescent="0.25">
      <c r="A606" t="s">
        <v>1646</v>
      </c>
      <c r="B606" t="s">
        <v>1647</v>
      </c>
      <c r="C606" s="1">
        <v>394</v>
      </c>
      <c r="I606" s="1">
        <v>0</v>
      </c>
      <c r="J606" s="1">
        <v>0</v>
      </c>
      <c r="K606" s="1">
        <v>0</v>
      </c>
      <c r="L606" s="1">
        <v>0</v>
      </c>
      <c r="M606" s="6" t="s">
        <v>2784</v>
      </c>
      <c r="N606" s="1">
        <v>300</v>
      </c>
      <c r="O606" s="1">
        <v>300</v>
      </c>
      <c r="P606" t="s">
        <v>2778</v>
      </c>
      <c r="Q60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06" s="1" t="s">
        <v>2779</v>
      </c>
    </row>
    <row r="607" spans="1:18" x14ac:dyDescent="0.25">
      <c r="A607" t="s">
        <v>863</v>
      </c>
      <c r="B607" t="s">
        <v>864</v>
      </c>
      <c r="C607" s="1">
        <v>1408</v>
      </c>
      <c r="D607" s="1">
        <v>4</v>
      </c>
      <c r="F607" s="1">
        <v>2</v>
      </c>
      <c r="H607" s="1">
        <v>6</v>
      </c>
      <c r="I607" s="1">
        <v>312</v>
      </c>
      <c r="J607" s="1">
        <v>20</v>
      </c>
      <c r="K607" s="1">
        <v>5</v>
      </c>
      <c r="L607" s="1">
        <v>337</v>
      </c>
      <c r="M607" s="6">
        <f>(Table2[[#This Row],[Grand Total of Lead Service Lines Replaced]]/(Table2[[#This Row],[Total to be identified or replaced]]+Table2[[#This Row],[Grand Total of Lead Service Lines Replaced]]))</f>
        <v>1.7492711370262391E-2</v>
      </c>
      <c r="N607" s="1">
        <v>180</v>
      </c>
      <c r="O607" s="1">
        <v>517</v>
      </c>
      <c r="P607" t="s">
        <v>2778</v>
      </c>
      <c r="Q60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07" s="1" t="s">
        <v>2783</v>
      </c>
    </row>
    <row r="608" spans="1:18" x14ac:dyDescent="0.25">
      <c r="A608" t="s">
        <v>1648</v>
      </c>
      <c r="B608" t="s">
        <v>1649</v>
      </c>
      <c r="C608" s="1">
        <v>90</v>
      </c>
      <c r="I608" s="1">
        <v>0</v>
      </c>
      <c r="J608" s="1">
        <v>0</v>
      </c>
      <c r="K608" s="1">
        <v>0</v>
      </c>
      <c r="L608" s="1">
        <v>0</v>
      </c>
      <c r="M608" s="6" t="s">
        <v>2784</v>
      </c>
      <c r="N608" s="1">
        <v>1</v>
      </c>
      <c r="O608" s="1">
        <v>1</v>
      </c>
      <c r="P608" t="s">
        <v>2778</v>
      </c>
      <c r="Q60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08" s="1" t="s">
        <v>2779</v>
      </c>
    </row>
    <row r="609" spans="1:18" x14ac:dyDescent="0.25">
      <c r="A609" t="s">
        <v>1652</v>
      </c>
      <c r="B609" t="s">
        <v>1653</v>
      </c>
      <c r="C609" s="1">
        <v>200</v>
      </c>
      <c r="L609" s="1">
        <v>0</v>
      </c>
      <c r="M609" s="6" t="s">
        <v>2784</v>
      </c>
      <c r="N609" s="1">
        <v>102</v>
      </c>
      <c r="O609" s="1">
        <v>102</v>
      </c>
      <c r="P609" t="s">
        <v>2778</v>
      </c>
      <c r="Q60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09" s="1" t="s">
        <v>2779</v>
      </c>
    </row>
    <row r="610" spans="1:18" x14ac:dyDescent="0.25">
      <c r="A610" t="s">
        <v>1654</v>
      </c>
      <c r="B610" t="s">
        <v>1655</v>
      </c>
      <c r="C610" s="1">
        <v>750</v>
      </c>
      <c r="I610" s="1">
        <v>0</v>
      </c>
      <c r="J610" s="1">
        <v>0</v>
      </c>
      <c r="K610" s="1">
        <v>0</v>
      </c>
      <c r="L610" s="1">
        <v>0</v>
      </c>
      <c r="M610" s="6" t="s">
        <v>2784</v>
      </c>
      <c r="N610" s="1">
        <v>189</v>
      </c>
      <c r="O610" s="1">
        <v>189</v>
      </c>
      <c r="P610" t="s">
        <v>2778</v>
      </c>
      <c r="Q61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10" s="1" t="s">
        <v>2779</v>
      </c>
    </row>
    <row r="611" spans="1:18" x14ac:dyDescent="0.25">
      <c r="A611" t="s">
        <v>653</v>
      </c>
      <c r="B611" t="s">
        <v>654</v>
      </c>
      <c r="C611" s="1">
        <v>1604</v>
      </c>
      <c r="E611" s="1">
        <v>4</v>
      </c>
      <c r="F611" s="1">
        <v>3</v>
      </c>
      <c r="G611" s="1">
        <v>5</v>
      </c>
      <c r="H611" s="1">
        <v>12</v>
      </c>
      <c r="I611" s="1">
        <v>0</v>
      </c>
      <c r="J611" s="1">
        <v>9</v>
      </c>
      <c r="K611" s="1">
        <v>656</v>
      </c>
      <c r="L611" s="1">
        <v>665</v>
      </c>
      <c r="M611" s="6">
        <f>(Table2[[#This Row],[Grand Total of Lead Service Lines Replaced]]/(Table2[[#This Row],[Total to be identified or replaced]]+Table2[[#This Row],[Grand Total of Lead Service Lines Replaced]]))</f>
        <v>1.7725258493353029E-2</v>
      </c>
      <c r="N611" s="1">
        <v>148</v>
      </c>
      <c r="O611" s="1">
        <v>813</v>
      </c>
      <c r="P611" t="s">
        <v>2778</v>
      </c>
      <c r="Q61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11" s="1" t="s">
        <v>2783</v>
      </c>
    </row>
    <row r="612" spans="1:18" x14ac:dyDescent="0.25">
      <c r="A612" t="s">
        <v>2754</v>
      </c>
      <c r="B612" t="s">
        <v>2755</v>
      </c>
      <c r="C612" s="1">
        <v>25883</v>
      </c>
      <c r="D612" s="1">
        <v>30</v>
      </c>
      <c r="E612" s="1">
        <v>53</v>
      </c>
      <c r="F612" s="1">
        <v>27</v>
      </c>
      <c r="G612" s="1">
        <v>75</v>
      </c>
      <c r="H612" s="1">
        <v>185</v>
      </c>
      <c r="I612" s="1">
        <v>241</v>
      </c>
      <c r="J612" s="1">
        <v>11</v>
      </c>
      <c r="K612" s="1">
        <v>9439</v>
      </c>
      <c r="L612" s="1">
        <v>9691</v>
      </c>
      <c r="M612" s="6">
        <f>(Table2[[#This Row],[Grand Total of Lead Service Lines Replaced]]/(Table2[[#This Row],[Total to be identified or replaced]]+Table2[[#This Row],[Grand Total of Lead Service Lines Replaced]]))</f>
        <v>1.8732280275415149E-2</v>
      </c>
      <c r="N612" s="1">
        <v>578</v>
      </c>
      <c r="O612" s="1">
        <v>10269</v>
      </c>
      <c r="P612" t="s">
        <v>2778</v>
      </c>
      <c r="Q61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12" s="1" t="s">
        <v>2783</v>
      </c>
    </row>
    <row r="613" spans="1:18" x14ac:dyDescent="0.25">
      <c r="A613" t="s">
        <v>585</v>
      </c>
      <c r="B613" t="s">
        <v>586</v>
      </c>
      <c r="C613" s="1">
        <v>2000</v>
      </c>
      <c r="D613" s="1">
        <v>5</v>
      </c>
      <c r="E613" s="1">
        <v>5</v>
      </c>
      <c r="F613" s="1">
        <v>4</v>
      </c>
      <c r="G613" s="1">
        <v>2</v>
      </c>
      <c r="H613" s="1">
        <v>16</v>
      </c>
      <c r="I613" s="1">
        <v>90</v>
      </c>
      <c r="J613" s="1">
        <v>715</v>
      </c>
      <c r="K613" s="1">
        <v>0</v>
      </c>
      <c r="L613" s="1">
        <v>805</v>
      </c>
      <c r="M613" s="6">
        <f>(Table2[[#This Row],[Grand Total of Lead Service Lines Replaced]]/(Table2[[#This Row],[Total to be identified or replaced]]+Table2[[#This Row],[Grand Total of Lead Service Lines Replaced]]))</f>
        <v>1.9488428745432398E-2</v>
      </c>
      <c r="N613" s="1">
        <v>56</v>
      </c>
      <c r="O613" s="1">
        <v>861</v>
      </c>
      <c r="P613" t="s">
        <v>2778</v>
      </c>
      <c r="Q61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13" s="1" t="s">
        <v>2783</v>
      </c>
    </row>
    <row r="614" spans="1:18" x14ac:dyDescent="0.25">
      <c r="A614" t="s">
        <v>1662</v>
      </c>
      <c r="B614" t="s">
        <v>1663</v>
      </c>
      <c r="C614" s="1">
        <v>3019</v>
      </c>
      <c r="D614" s="1">
        <v>11</v>
      </c>
      <c r="E614" s="1">
        <v>1</v>
      </c>
      <c r="F614" s="1">
        <v>7</v>
      </c>
      <c r="G614" s="1">
        <v>3</v>
      </c>
      <c r="H614" s="1">
        <v>22</v>
      </c>
      <c r="I614" s="1">
        <v>0</v>
      </c>
      <c r="J614" s="1">
        <v>0</v>
      </c>
      <c r="K614" s="1">
        <v>0</v>
      </c>
      <c r="L614" s="1">
        <v>0</v>
      </c>
      <c r="M614" s="6">
        <f>(Table2[[#This Row],[Grand Total of Lead Service Lines Replaced]]/(Table2[[#This Row],[Total to be identified or replaced]]+Table2[[#This Row],[Grand Total of Lead Service Lines Replaced]]))</f>
        <v>1</v>
      </c>
      <c r="N614" s="1">
        <v>1636</v>
      </c>
      <c r="O614" s="1">
        <v>1636</v>
      </c>
      <c r="P614" t="s">
        <v>2778</v>
      </c>
      <c r="Q614" t="s">
        <v>2785</v>
      </c>
      <c r="R614" s="7" t="s">
        <v>2786</v>
      </c>
    </row>
    <row r="615" spans="1:18" x14ac:dyDescent="0.25">
      <c r="A615" t="s">
        <v>1314</v>
      </c>
      <c r="B615" t="s">
        <v>1315</v>
      </c>
      <c r="C615" s="1">
        <v>440</v>
      </c>
      <c r="I615" s="1">
        <v>0</v>
      </c>
      <c r="J615" s="1">
        <v>0</v>
      </c>
      <c r="K615" s="1">
        <v>0</v>
      </c>
      <c r="L615" s="1">
        <v>0</v>
      </c>
      <c r="M615" s="6" t="s">
        <v>2784</v>
      </c>
      <c r="N615" s="1">
        <v>165</v>
      </c>
      <c r="O615" s="1">
        <v>165</v>
      </c>
      <c r="P615" t="s">
        <v>2778</v>
      </c>
      <c r="Q6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15" s="1" t="s">
        <v>2779</v>
      </c>
    </row>
    <row r="616" spans="1:18" x14ac:dyDescent="0.25">
      <c r="A616" t="s">
        <v>1664</v>
      </c>
      <c r="B616" t="s">
        <v>1665</v>
      </c>
      <c r="C616" s="1">
        <v>340</v>
      </c>
      <c r="I616" s="1">
        <v>0</v>
      </c>
      <c r="J616" s="1">
        <v>0</v>
      </c>
      <c r="K616" s="1">
        <v>0</v>
      </c>
      <c r="L616" s="1">
        <v>0</v>
      </c>
      <c r="M616" s="6" t="s">
        <v>2784</v>
      </c>
      <c r="N616" s="1">
        <v>249</v>
      </c>
      <c r="O616" s="1">
        <v>249</v>
      </c>
      <c r="P616" t="s">
        <v>2778</v>
      </c>
      <c r="Q61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16" s="1" t="s">
        <v>2779</v>
      </c>
    </row>
    <row r="617" spans="1:18" x14ac:dyDescent="0.25">
      <c r="A617" t="s">
        <v>1666</v>
      </c>
      <c r="B617" t="s">
        <v>1667</v>
      </c>
      <c r="C617" s="1">
        <v>290</v>
      </c>
      <c r="I617" s="1">
        <v>0</v>
      </c>
      <c r="J617" s="1">
        <v>0</v>
      </c>
      <c r="K617" s="1">
        <v>0</v>
      </c>
      <c r="L617" s="1">
        <v>0</v>
      </c>
      <c r="M617" s="6" t="s">
        <v>2784</v>
      </c>
      <c r="N617" s="1">
        <v>141</v>
      </c>
      <c r="O617" s="1">
        <v>141</v>
      </c>
      <c r="P617" t="s">
        <v>2778</v>
      </c>
      <c r="Q61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17" s="1" t="s">
        <v>2779</v>
      </c>
    </row>
    <row r="618" spans="1:18" x14ac:dyDescent="0.25">
      <c r="A618" t="s">
        <v>365</v>
      </c>
      <c r="B618" t="s">
        <v>366</v>
      </c>
      <c r="C618" s="1">
        <v>318</v>
      </c>
      <c r="E618" s="1">
        <v>1</v>
      </c>
      <c r="G618" s="1">
        <v>2</v>
      </c>
      <c r="H618" s="1">
        <v>3</v>
      </c>
      <c r="I618" s="1">
        <v>0</v>
      </c>
      <c r="J618" s="1">
        <v>146</v>
      </c>
      <c r="K618" s="1">
        <v>0</v>
      </c>
      <c r="L618" s="1">
        <v>146</v>
      </c>
      <c r="M618" s="6">
        <f>(Table2[[#This Row],[Grand Total of Lead Service Lines Replaced]]/(Table2[[#This Row],[Total to be identified or replaced]]+Table2[[#This Row],[Grand Total of Lead Service Lines Replaced]]))</f>
        <v>2.0134228187919462E-2</v>
      </c>
      <c r="N618" s="1">
        <v>52</v>
      </c>
      <c r="O618" s="1">
        <v>198</v>
      </c>
      <c r="P618" t="s">
        <v>2778</v>
      </c>
      <c r="Q61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18" s="1" t="s">
        <v>2783</v>
      </c>
    </row>
    <row r="619" spans="1:18" x14ac:dyDescent="0.25">
      <c r="A619" t="s">
        <v>549</v>
      </c>
      <c r="B619" t="s">
        <v>550</v>
      </c>
      <c r="C619" s="1">
        <v>9959</v>
      </c>
      <c r="D619" s="1">
        <v>12</v>
      </c>
      <c r="F619" s="1">
        <v>4</v>
      </c>
      <c r="G619" s="1">
        <v>5</v>
      </c>
      <c r="H619" s="1">
        <v>21</v>
      </c>
      <c r="I619" s="1">
        <v>6</v>
      </c>
      <c r="J619" s="1">
        <v>0</v>
      </c>
      <c r="K619" s="1">
        <v>992</v>
      </c>
      <c r="L619" s="1">
        <v>998</v>
      </c>
      <c r="M619" s="6">
        <f>(Table2[[#This Row],[Grand Total of Lead Service Lines Replaced]]/(Table2[[#This Row],[Total to be identified or replaced]]+Table2[[#This Row],[Grand Total of Lead Service Lines Replaced]]))</f>
        <v>2.0608439646712464E-2</v>
      </c>
      <c r="N619" s="1">
        <v>2914</v>
      </c>
      <c r="O619" s="1">
        <v>3912</v>
      </c>
      <c r="P619" t="s">
        <v>2778</v>
      </c>
      <c r="Q61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19" s="1" t="s">
        <v>2783</v>
      </c>
    </row>
    <row r="620" spans="1:18" x14ac:dyDescent="0.25">
      <c r="A620" t="s">
        <v>439</v>
      </c>
      <c r="B620" t="s">
        <v>440</v>
      </c>
      <c r="C620" s="1">
        <v>10068</v>
      </c>
      <c r="D620" s="1">
        <v>23</v>
      </c>
      <c r="E620" s="1">
        <v>6</v>
      </c>
      <c r="G620" s="1">
        <v>4</v>
      </c>
      <c r="H620" s="1">
        <v>33</v>
      </c>
      <c r="I620" s="1">
        <v>7</v>
      </c>
      <c r="J620" s="1">
        <v>63</v>
      </c>
      <c r="K620" s="1">
        <v>1485</v>
      </c>
      <c r="L620" s="1">
        <v>1555</v>
      </c>
      <c r="M620" s="6">
        <f>(Table2[[#This Row],[Grand Total of Lead Service Lines Replaced]]/(Table2[[#This Row],[Total to be identified or replaced]]+Table2[[#This Row],[Grand Total of Lead Service Lines Replaced]]))</f>
        <v>2.0780856423173802E-2</v>
      </c>
      <c r="N620" s="1">
        <v>1356</v>
      </c>
      <c r="O620" s="1">
        <v>2911</v>
      </c>
      <c r="P620" t="s">
        <v>2778</v>
      </c>
      <c r="Q62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20" s="1" t="s">
        <v>2783</v>
      </c>
    </row>
    <row r="621" spans="1:18" x14ac:dyDescent="0.25">
      <c r="A621" t="s">
        <v>1672</v>
      </c>
      <c r="B621" t="s">
        <v>1673</v>
      </c>
      <c r="C621" s="1">
        <v>305</v>
      </c>
      <c r="I621" s="1">
        <v>0</v>
      </c>
      <c r="J621" s="1">
        <v>0</v>
      </c>
      <c r="K621" s="1">
        <v>0</v>
      </c>
      <c r="L621" s="1">
        <v>0</v>
      </c>
      <c r="M621" s="6" t="s">
        <v>2784</v>
      </c>
      <c r="N621" s="1">
        <v>134</v>
      </c>
      <c r="O621" s="1">
        <v>134</v>
      </c>
      <c r="P621" t="s">
        <v>2778</v>
      </c>
      <c r="Q62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21" s="1" t="s">
        <v>2779</v>
      </c>
    </row>
    <row r="622" spans="1:18" x14ac:dyDescent="0.25">
      <c r="A622" t="s">
        <v>135</v>
      </c>
      <c r="B622" t="s">
        <v>136</v>
      </c>
      <c r="C622" s="1">
        <v>134056</v>
      </c>
      <c r="D622" s="1">
        <v>99</v>
      </c>
      <c r="E622" s="1">
        <v>99</v>
      </c>
      <c r="F622" s="1">
        <v>65</v>
      </c>
      <c r="G622" s="1">
        <v>69</v>
      </c>
      <c r="H622" s="1">
        <v>332</v>
      </c>
      <c r="I622" s="1">
        <v>5</v>
      </c>
      <c r="J622" s="1">
        <v>33</v>
      </c>
      <c r="K622" s="1">
        <v>15573</v>
      </c>
      <c r="L622" s="1">
        <v>15611</v>
      </c>
      <c r="M622" s="6">
        <f>(Table2[[#This Row],[Grand Total of Lead Service Lines Replaced]]/(Table2[[#This Row],[Total to be identified or replaced]]+Table2[[#This Row],[Grand Total of Lead Service Lines Replaced]]))</f>
        <v>2.0824186163206422E-2</v>
      </c>
      <c r="N622" s="1">
        <v>35146</v>
      </c>
      <c r="O622" s="1">
        <v>50757</v>
      </c>
      <c r="P622" t="s">
        <v>2778</v>
      </c>
      <c r="Q62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22" s="1" t="s">
        <v>2783</v>
      </c>
    </row>
    <row r="623" spans="1:18" x14ac:dyDescent="0.25">
      <c r="A623" t="s">
        <v>2473</v>
      </c>
      <c r="B623" t="s">
        <v>2474</v>
      </c>
      <c r="C623" s="1">
        <v>157</v>
      </c>
      <c r="L623" s="1">
        <v>0</v>
      </c>
      <c r="M623" s="6" t="s">
        <v>2784</v>
      </c>
      <c r="N623" s="1">
        <v>54</v>
      </c>
      <c r="O623" s="1">
        <v>54</v>
      </c>
      <c r="P623">
        <v>2022</v>
      </c>
      <c r="Q6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23" s="1" t="s">
        <v>2779</v>
      </c>
    </row>
    <row r="624" spans="1:18" x14ac:dyDescent="0.25">
      <c r="A624" t="s">
        <v>1678</v>
      </c>
      <c r="B624" t="s">
        <v>1679</v>
      </c>
      <c r="C624" s="1">
        <v>54</v>
      </c>
      <c r="I624" s="1">
        <v>0</v>
      </c>
      <c r="J624" s="1">
        <v>0</v>
      </c>
      <c r="L624" s="1">
        <v>0</v>
      </c>
      <c r="M624" s="6" t="s">
        <v>2784</v>
      </c>
      <c r="N624" s="1">
        <v>19</v>
      </c>
      <c r="O624" s="1">
        <v>19</v>
      </c>
      <c r="P624" t="s">
        <v>2778</v>
      </c>
      <c r="Q62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24" s="1" t="s">
        <v>2779</v>
      </c>
    </row>
    <row r="625" spans="1:18" x14ac:dyDescent="0.25">
      <c r="A625" t="s">
        <v>611</v>
      </c>
      <c r="B625" t="s">
        <v>612</v>
      </c>
      <c r="C625" s="1">
        <v>4871</v>
      </c>
      <c r="E625" s="1">
        <v>1</v>
      </c>
      <c r="F625" s="1">
        <v>2</v>
      </c>
      <c r="G625" s="1">
        <v>10</v>
      </c>
      <c r="H625" s="1">
        <v>13</v>
      </c>
      <c r="I625" s="1">
        <v>132</v>
      </c>
      <c r="J625" s="1">
        <v>426</v>
      </c>
      <c r="K625" s="1">
        <v>0</v>
      </c>
      <c r="L625" s="1">
        <v>558</v>
      </c>
      <c r="M625" s="6">
        <f>(Table2[[#This Row],[Grand Total of Lead Service Lines Replaced]]/(Table2[[#This Row],[Total to be identified or replaced]]+Table2[[#This Row],[Grand Total of Lead Service Lines Replaced]]))</f>
        <v>2.276707530647986E-2</v>
      </c>
      <c r="N625" s="1">
        <v>1267</v>
      </c>
      <c r="O625" s="1">
        <v>1825</v>
      </c>
      <c r="P625" t="s">
        <v>2778</v>
      </c>
      <c r="Q62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25" s="1" t="s">
        <v>2783</v>
      </c>
    </row>
    <row r="626" spans="1:18" x14ac:dyDescent="0.25">
      <c r="A626" t="s">
        <v>1118</v>
      </c>
      <c r="B626" t="s">
        <v>1119</v>
      </c>
      <c r="C626" s="1">
        <v>440</v>
      </c>
      <c r="G626" s="1">
        <v>4</v>
      </c>
      <c r="H626" s="1">
        <v>4</v>
      </c>
      <c r="I626" s="1">
        <v>0</v>
      </c>
      <c r="J626" s="1">
        <v>0</v>
      </c>
      <c r="K626" s="1">
        <v>163</v>
      </c>
      <c r="L626" s="1">
        <v>163</v>
      </c>
      <c r="M626" s="6">
        <f>(Table2[[#This Row],[Grand Total of Lead Service Lines Replaced]]/(Table2[[#This Row],[Total to be identified or replaced]]+Table2[[#This Row],[Grand Total of Lead Service Lines Replaced]]))</f>
        <v>2.3952095808383235E-2</v>
      </c>
      <c r="N626" s="1">
        <v>21</v>
      </c>
      <c r="O626" s="1">
        <v>184</v>
      </c>
      <c r="P626" t="s">
        <v>2778</v>
      </c>
      <c r="Q62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26" s="1" t="s">
        <v>2783</v>
      </c>
    </row>
    <row r="627" spans="1:18" x14ac:dyDescent="0.25">
      <c r="A627" t="s">
        <v>1682</v>
      </c>
      <c r="B627" t="s">
        <v>1683</v>
      </c>
      <c r="C627" s="1">
        <v>2023</v>
      </c>
      <c r="I627" s="1">
        <v>0</v>
      </c>
      <c r="J627" s="1">
        <v>0</v>
      </c>
      <c r="K627" s="1">
        <v>0</v>
      </c>
      <c r="L627" s="1">
        <v>0</v>
      </c>
      <c r="M627" s="6" t="s">
        <v>2784</v>
      </c>
      <c r="N627" s="1">
        <v>842</v>
      </c>
      <c r="O627" s="1">
        <v>842</v>
      </c>
      <c r="P627" t="s">
        <v>2778</v>
      </c>
      <c r="Q62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27" s="1" t="s">
        <v>2779</v>
      </c>
    </row>
    <row r="628" spans="1:18" x14ac:dyDescent="0.25">
      <c r="A628" t="s">
        <v>1686</v>
      </c>
      <c r="B628" t="s">
        <v>1687</v>
      </c>
      <c r="C628" s="1">
        <v>3330</v>
      </c>
      <c r="I628" s="1">
        <v>0</v>
      </c>
      <c r="J628" s="1">
        <v>0</v>
      </c>
      <c r="K628" s="1">
        <v>0</v>
      </c>
      <c r="L628" s="1">
        <v>0</v>
      </c>
      <c r="M628" s="6" t="s">
        <v>2784</v>
      </c>
      <c r="N628" s="1">
        <v>1189</v>
      </c>
      <c r="O628" s="1">
        <v>1189</v>
      </c>
      <c r="P628" t="s">
        <v>2778</v>
      </c>
      <c r="Q62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28" s="1" t="s">
        <v>2779</v>
      </c>
    </row>
    <row r="629" spans="1:18" x14ac:dyDescent="0.25">
      <c r="A629" t="s">
        <v>1688</v>
      </c>
      <c r="B629" t="s">
        <v>1689</v>
      </c>
      <c r="C629" s="1">
        <v>39</v>
      </c>
      <c r="I629" s="1">
        <v>0</v>
      </c>
      <c r="J629" s="1">
        <v>0</v>
      </c>
      <c r="K629" s="1">
        <v>0</v>
      </c>
      <c r="L629" s="1">
        <v>0</v>
      </c>
      <c r="M629" s="6" t="s">
        <v>2784</v>
      </c>
      <c r="N629" s="1">
        <v>1</v>
      </c>
      <c r="O629" s="1">
        <v>1</v>
      </c>
      <c r="P629" t="s">
        <v>2778</v>
      </c>
      <c r="Q62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29" s="1" t="s">
        <v>2779</v>
      </c>
    </row>
    <row r="630" spans="1:18" x14ac:dyDescent="0.25">
      <c r="A630" t="s">
        <v>1690</v>
      </c>
      <c r="B630" t="s">
        <v>1691</v>
      </c>
      <c r="C630" s="1">
        <v>188</v>
      </c>
      <c r="I630" s="1">
        <v>0</v>
      </c>
      <c r="J630" s="1">
        <v>0</v>
      </c>
      <c r="K630" s="1">
        <v>0</v>
      </c>
      <c r="L630" s="1">
        <v>0</v>
      </c>
      <c r="M630" s="6" t="s">
        <v>2784</v>
      </c>
      <c r="N630" s="1">
        <v>74</v>
      </c>
      <c r="O630" s="1">
        <v>74</v>
      </c>
      <c r="P630" t="s">
        <v>2778</v>
      </c>
      <c r="Q6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30" s="1" t="s">
        <v>2779</v>
      </c>
    </row>
    <row r="631" spans="1:18" x14ac:dyDescent="0.25">
      <c r="A631" t="s">
        <v>839</v>
      </c>
      <c r="B631" t="s">
        <v>840</v>
      </c>
      <c r="C631" s="1">
        <v>1287</v>
      </c>
      <c r="E631" s="1">
        <v>1</v>
      </c>
      <c r="F631" s="1">
        <v>5</v>
      </c>
      <c r="G631" s="1">
        <v>3</v>
      </c>
      <c r="H631" s="1">
        <v>9</v>
      </c>
      <c r="I631" s="1">
        <v>0</v>
      </c>
      <c r="J631" s="1">
        <v>102</v>
      </c>
      <c r="K631" s="1">
        <v>247</v>
      </c>
      <c r="L631" s="1">
        <v>349</v>
      </c>
      <c r="M631" s="6">
        <f>(Table2[[#This Row],[Grand Total of Lead Service Lines Replaced]]/(Table2[[#This Row],[Total to be identified or replaced]]+Table2[[#This Row],[Grand Total of Lead Service Lines Replaced]]))</f>
        <v>2.5139664804469275E-2</v>
      </c>
      <c r="N631" s="1">
        <v>189</v>
      </c>
      <c r="O631" s="1">
        <v>538</v>
      </c>
      <c r="P631" t="s">
        <v>2778</v>
      </c>
      <c r="Q63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31" s="1" t="s">
        <v>2783</v>
      </c>
    </row>
    <row r="632" spans="1:18" x14ac:dyDescent="0.25">
      <c r="A632" t="s">
        <v>1692</v>
      </c>
      <c r="B632" t="s">
        <v>1693</v>
      </c>
      <c r="C632" s="1">
        <v>50</v>
      </c>
      <c r="I632" s="1">
        <v>0</v>
      </c>
      <c r="J632" s="1">
        <v>0</v>
      </c>
      <c r="K632" s="1">
        <v>0</v>
      </c>
      <c r="L632" s="1">
        <v>0</v>
      </c>
      <c r="M632" s="6" t="s">
        <v>2784</v>
      </c>
      <c r="N632" s="1">
        <v>4</v>
      </c>
      <c r="O632" s="1">
        <v>4</v>
      </c>
      <c r="P632" t="s">
        <v>2778</v>
      </c>
      <c r="Q6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32" s="1" t="s">
        <v>2779</v>
      </c>
    </row>
    <row r="633" spans="1:18" x14ac:dyDescent="0.25">
      <c r="A633" t="s">
        <v>185</v>
      </c>
      <c r="B633" t="s">
        <v>186</v>
      </c>
      <c r="C633" s="1">
        <v>1794</v>
      </c>
      <c r="E633" s="1">
        <v>4</v>
      </c>
      <c r="H633" s="1">
        <v>4</v>
      </c>
      <c r="I633" s="1">
        <v>151</v>
      </c>
      <c r="J633" s="1">
        <v>3</v>
      </c>
      <c r="K633" s="1">
        <v>0</v>
      </c>
      <c r="L633" s="1">
        <v>154</v>
      </c>
      <c r="M633" s="6">
        <f>(Table2[[#This Row],[Grand Total of Lead Service Lines Replaced]]/(Table2[[#This Row],[Total to be identified or replaced]]+Table2[[#This Row],[Grand Total of Lead Service Lines Replaced]]))</f>
        <v>2.5316455696202531E-2</v>
      </c>
      <c r="N633" s="1">
        <v>459</v>
      </c>
      <c r="O633" s="1">
        <v>613</v>
      </c>
      <c r="P633" t="s">
        <v>2778</v>
      </c>
      <c r="Q63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33" s="1" t="s">
        <v>2783</v>
      </c>
    </row>
    <row r="634" spans="1:18" x14ac:dyDescent="0.25">
      <c r="A634" t="s">
        <v>117</v>
      </c>
      <c r="B634" t="s">
        <v>118</v>
      </c>
      <c r="C634" s="1">
        <v>10128</v>
      </c>
      <c r="D634" s="1">
        <v>25</v>
      </c>
      <c r="E634" s="1">
        <v>14</v>
      </c>
      <c r="F634" s="1">
        <v>18</v>
      </c>
      <c r="G634" s="1">
        <v>51</v>
      </c>
      <c r="H634" s="1">
        <v>108</v>
      </c>
      <c r="I634" s="1">
        <v>7</v>
      </c>
      <c r="J634" s="1">
        <v>76</v>
      </c>
      <c r="K634" s="1">
        <v>4022</v>
      </c>
      <c r="L634" s="1">
        <v>4105</v>
      </c>
      <c r="M634" s="6">
        <f>(Table2[[#This Row],[Grand Total of Lead Service Lines Replaced]]/(Table2[[#This Row],[Total to be identified or replaced]]+Table2[[#This Row],[Grand Total of Lead Service Lines Replaced]]))</f>
        <v>2.5634939473059577E-2</v>
      </c>
      <c r="N634" s="1">
        <v>538</v>
      </c>
      <c r="O634" s="1">
        <v>4643</v>
      </c>
      <c r="P634" t="s">
        <v>2778</v>
      </c>
      <c r="Q63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34" s="1" t="s">
        <v>2783</v>
      </c>
    </row>
    <row r="635" spans="1:18" x14ac:dyDescent="0.25">
      <c r="A635" t="s">
        <v>843</v>
      </c>
      <c r="B635" t="s">
        <v>844</v>
      </c>
      <c r="C635" s="1">
        <v>5000</v>
      </c>
      <c r="F635" s="1">
        <v>1</v>
      </c>
      <c r="G635" s="1">
        <v>3</v>
      </c>
      <c r="H635" s="1">
        <v>4</v>
      </c>
      <c r="I635" s="1">
        <v>0</v>
      </c>
      <c r="J635" s="1">
        <v>0</v>
      </c>
      <c r="K635" s="1">
        <v>0</v>
      </c>
      <c r="L635" s="1">
        <v>0</v>
      </c>
      <c r="M635" s="6">
        <f>(Table2[[#This Row],[Grand Total of Lead Service Lines Replaced]]/(Table2[[#This Row],[Total to be identified or replaced]]+Table2[[#This Row],[Grand Total of Lead Service Lines Replaced]]))</f>
        <v>1</v>
      </c>
      <c r="N635" s="1">
        <v>61</v>
      </c>
      <c r="O635" s="1">
        <v>61</v>
      </c>
      <c r="P635" t="s">
        <v>2778</v>
      </c>
      <c r="Q635" t="s">
        <v>2785</v>
      </c>
      <c r="R635" s="7" t="s">
        <v>2786</v>
      </c>
    </row>
    <row r="636" spans="1:18" x14ac:dyDescent="0.25">
      <c r="A636" t="s">
        <v>1698</v>
      </c>
      <c r="B636" t="s">
        <v>1699</v>
      </c>
      <c r="C636" s="1">
        <v>147</v>
      </c>
      <c r="L636" s="1">
        <v>0</v>
      </c>
      <c r="M636" s="6" t="s">
        <v>2784</v>
      </c>
      <c r="N636" s="1">
        <v>52</v>
      </c>
      <c r="O636" s="1">
        <v>52</v>
      </c>
      <c r="P636" t="s">
        <v>2778</v>
      </c>
      <c r="Q63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36" s="1" t="s">
        <v>2779</v>
      </c>
    </row>
    <row r="637" spans="1:18" x14ac:dyDescent="0.25">
      <c r="A637" t="s">
        <v>425</v>
      </c>
      <c r="B637" t="s">
        <v>426</v>
      </c>
      <c r="C637" s="1">
        <v>7363</v>
      </c>
      <c r="D637" s="1">
        <v>7</v>
      </c>
      <c r="E637" s="1">
        <v>14</v>
      </c>
      <c r="F637" s="1">
        <v>12</v>
      </c>
      <c r="G637" s="1">
        <v>9</v>
      </c>
      <c r="H637" s="1">
        <v>42</v>
      </c>
      <c r="I637" s="1">
        <v>4</v>
      </c>
      <c r="J637" s="1">
        <v>24</v>
      </c>
      <c r="K637" s="1">
        <v>1565</v>
      </c>
      <c r="L637" s="1">
        <v>1593</v>
      </c>
      <c r="M637" s="6">
        <f>(Table2[[#This Row],[Grand Total of Lead Service Lines Replaced]]/(Table2[[#This Row],[Total to be identified or replaced]]+Table2[[#This Row],[Grand Total of Lead Service Lines Replaced]]))</f>
        <v>2.5688073394495414E-2</v>
      </c>
      <c r="N637" s="1">
        <v>1265</v>
      </c>
      <c r="O637" s="1">
        <v>2858</v>
      </c>
      <c r="P637" t="s">
        <v>2778</v>
      </c>
      <c r="Q63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37" s="1" t="s">
        <v>2783</v>
      </c>
    </row>
    <row r="638" spans="1:18" x14ac:dyDescent="0.25">
      <c r="A638" t="s">
        <v>827</v>
      </c>
      <c r="B638" t="s">
        <v>828</v>
      </c>
      <c r="C638" s="1">
        <v>4500</v>
      </c>
      <c r="E638" s="1">
        <v>7</v>
      </c>
      <c r="F638" s="1">
        <v>2</v>
      </c>
      <c r="G638" s="1">
        <v>1</v>
      </c>
      <c r="H638" s="1">
        <v>10</v>
      </c>
      <c r="I638" s="1">
        <v>0</v>
      </c>
      <c r="J638" s="1">
        <v>42</v>
      </c>
      <c r="K638" s="1">
        <v>328</v>
      </c>
      <c r="L638" s="1">
        <v>370</v>
      </c>
      <c r="M638" s="6">
        <f>(Table2[[#This Row],[Grand Total of Lead Service Lines Replaced]]/(Table2[[#This Row],[Total to be identified or replaced]]+Table2[[#This Row],[Grand Total of Lead Service Lines Replaced]]))</f>
        <v>2.6315789473684209E-2</v>
      </c>
      <c r="N638" s="1">
        <v>1492</v>
      </c>
      <c r="O638" s="1">
        <v>1862</v>
      </c>
      <c r="P638" t="s">
        <v>2778</v>
      </c>
      <c r="Q63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38" s="1" t="s">
        <v>2783</v>
      </c>
    </row>
    <row r="639" spans="1:18" x14ac:dyDescent="0.25">
      <c r="A639" t="s">
        <v>1700</v>
      </c>
      <c r="B639" t="s">
        <v>1701</v>
      </c>
      <c r="C639" s="1">
        <v>100</v>
      </c>
      <c r="I639" s="1">
        <v>0</v>
      </c>
      <c r="J639" s="1">
        <v>0</v>
      </c>
      <c r="K639" s="1">
        <v>0</v>
      </c>
      <c r="L639" s="1">
        <v>0</v>
      </c>
      <c r="M639" s="6" t="s">
        <v>2784</v>
      </c>
      <c r="N639" s="1">
        <v>42</v>
      </c>
      <c r="O639" s="1">
        <v>42</v>
      </c>
      <c r="P639" t="s">
        <v>2778</v>
      </c>
      <c r="Q6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39" s="1" t="s">
        <v>2779</v>
      </c>
    </row>
    <row r="640" spans="1:18" x14ac:dyDescent="0.25">
      <c r="A640" t="s">
        <v>39</v>
      </c>
      <c r="B640" t="s">
        <v>40</v>
      </c>
      <c r="C640" s="1">
        <v>3200</v>
      </c>
      <c r="I640" s="1" t="s">
        <v>16</v>
      </c>
      <c r="M640" s="6" t="s">
        <v>2784</v>
      </c>
      <c r="P640" t="s">
        <v>2778</v>
      </c>
      <c r="Q640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640" s="1" t="s">
        <v>2782</v>
      </c>
    </row>
    <row r="641" spans="1:18" x14ac:dyDescent="0.25">
      <c r="A641" t="s">
        <v>1702</v>
      </c>
      <c r="B641" t="s">
        <v>1703</v>
      </c>
      <c r="C641" s="1">
        <v>1480</v>
      </c>
      <c r="L641" s="1">
        <v>0</v>
      </c>
      <c r="M641" s="6" t="s">
        <v>2784</v>
      </c>
      <c r="N641" s="1">
        <v>428</v>
      </c>
      <c r="O641" s="1">
        <v>428</v>
      </c>
      <c r="P641" t="s">
        <v>2778</v>
      </c>
      <c r="Q6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41" s="1" t="s">
        <v>2779</v>
      </c>
    </row>
    <row r="642" spans="1:18" x14ac:dyDescent="0.25">
      <c r="A642" t="s">
        <v>1704</v>
      </c>
      <c r="B642" t="s">
        <v>1705</v>
      </c>
      <c r="C642" s="1">
        <v>3170</v>
      </c>
      <c r="I642" s="1">
        <v>0</v>
      </c>
      <c r="J642" s="1">
        <v>0</v>
      </c>
      <c r="K642" s="1">
        <v>0</v>
      </c>
      <c r="L642" s="1">
        <v>0</v>
      </c>
      <c r="M642" s="6" t="s">
        <v>2784</v>
      </c>
      <c r="N642" s="1">
        <v>1295</v>
      </c>
      <c r="O642" s="1">
        <v>1295</v>
      </c>
      <c r="P642" t="s">
        <v>2778</v>
      </c>
      <c r="Q64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42" s="1" t="s">
        <v>2779</v>
      </c>
    </row>
    <row r="643" spans="1:18" x14ac:dyDescent="0.25">
      <c r="A643" t="s">
        <v>1706</v>
      </c>
      <c r="B643" t="s">
        <v>1707</v>
      </c>
      <c r="C643" s="1">
        <v>2733</v>
      </c>
      <c r="I643" s="1">
        <v>0</v>
      </c>
      <c r="J643" s="1">
        <v>0</v>
      </c>
      <c r="K643" s="1">
        <v>0</v>
      </c>
      <c r="L643" s="1">
        <v>0</v>
      </c>
      <c r="M643" s="6" t="s">
        <v>2784</v>
      </c>
      <c r="N643" s="1">
        <v>1049</v>
      </c>
      <c r="O643" s="1">
        <v>1049</v>
      </c>
      <c r="P643" t="s">
        <v>2778</v>
      </c>
      <c r="Q6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43" s="1" t="s">
        <v>2779</v>
      </c>
    </row>
    <row r="644" spans="1:18" x14ac:dyDescent="0.25">
      <c r="A644" t="s">
        <v>2708</v>
      </c>
      <c r="B644" t="s">
        <v>2709</v>
      </c>
      <c r="C644" s="1">
        <v>108</v>
      </c>
      <c r="I644" s="1">
        <v>0</v>
      </c>
      <c r="J644" s="1">
        <v>0</v>
      </c>
      <c r="K644" s="1">
        <v>0</v>
      </c>
      <c r="L644" s="1">
        <v>0</v>
      </c>
      <c r="M644" s="6" t="s">
        <v>2784</v>
      </c>
      <c r="N644" s="1">
        <v>44</v>
      </c>
      <c r="O644" s="1">
        <v>44</v>
      </c>
      <c r="P644">
        <v>2022</v>
      </c>
      <c r="Q64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44" s="1" t="s">
        <v>2779</v>
      </c>
    </row>
    <row r="645" spans="1:18" x14ac:dyDescent="0.25">
      <c r="A645" t="s">
        <v>1710</v>
      </c>
      <c r="B645" t="s">
        <v>1711</v>
      </c>
      <c r="C645" s="1">
        <v>185</v>
      </c>
      <c r="L645" s="1">
        <v>0</v>
      </c>
      <c r="M645" s="6" t="s">
        <v>2784</v>
      </c>
      <c r="N645" s="1">
        <v>75</v>
      </c>
      <c r="O645" s="1">
        <v>75</v>
      </c>
      <c r="P645" t="s">
        <v>2778</v>
      </c>
      <c r="Q6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45" s="1" t="s">
        <v>2779</v>
      </c>
    </row>
    <row r="646" spans="1:18" x14ac:dyDescent="0.25">
      <c r="A646" t="s">
        <v>547</v>
      </c>
      <c r="B646" t="s">
        <v>548</v>
      </c>
      <c r="C646" s="1">
        <v>950</v>
      </c>
      <c r="I646" s="1">
        <v>0</v>
      </c>
      <c r="J646" s="1">
        <v>0</v>
      </c>
      <c r="K646" s="1">
        <v>0</v>
      </c>
      <c r="L646" s="1">
        <v>0</v>
      </c>
      <c r="M646" s="6" t="s">
        <v>2784</v>
      </c>
      <c r="N646" s="1">
        <v>156</v>
      </c>
      <c r="O646" s="1">
        <v>156</v>
      </c>
      <c r="P646">
        <v>2023</v>
      </c>
      <c r="Q64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46" s="1" t="s">
        <v>2779</v>
      </c>
    </row>
    <row r="647" spans="1:18" x14ac:dyDescent="0.25">
      <c r="A647" t="s">
        <v>1714</v>
      </c>
      <c r="B647" t="s">
        <v>1715</v>
      </c>
      <c r="C647" s="1">
        <v>36072</v>
      </c>
      <c r="I647" s="1">
        <v>0</v>
      </c>
      <c r="J647" s="1">
        <v>0</v>
      </c>
      <c r="K647" s="1">
        <v>0</v>
      </c>
      <c r="L647" s="1">
        <v>0</v>
      </c>
      <c r="M647" s="6" t="s">
        <v>2784</v>
      </c>
      <c r="N647" s="1">
        <v>8488</v>
      </c>
      <c r="O647" s="1">
        <v>8488</v>
      </c>
      <c r="P647" t="s">
        <v>2778</v>
      </c>
      <c r="Q64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47" s="1" t="s">
        <v>2779</v>
      </c>
    </row>
    <row r="648" spans="1:18" x14ac:dyDescent="0.25">
      <c r="A648" t="s">
        <v>1716</v>
      </c>
      <c r="B648" t="s">
        <v>1717</v>
      </c>
      <c r="C648" s="1">
        <v>55</v>
      </c>
      <c r="I648" s="1">
        <v>0</v>
      </c>
      <c r="J648" s="1">
        <v>0</v>
      </c>
      <c r="K648" s="1">
        <v>0</v>
      </c>
      <c r="L648" s="1">
        <v>0</v>
      </c>
      <c r="M648" s="6" t="s">
        <v>2784</v>
      </c>
      <c r="N648" s="1">
        <v>32</v>
      </c>
      <c r="O648" s="1">
        <v>32</v>
      </c>
      <c r="P648" t="s">
        <v>2778</v>
      </c>
      <c r="Q64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48" s="1" t="s">
        <v>2779</v>
      </c>
    </row>
    <row r="649" spans="1:18" x14ac:dyDescent="0.25">
      <c r="A649" t="s">
        <v>1718</v>
      </c>
      <c r="B649" t="s">
        <v>1719</v>
      </c>
      <c r="C649" s="1">
        <v>715</v>
      </c>
      <c r="L649" s="1">
        <v>0</v>
      </c>
      <c r="M649" s="6" t="s">
        <v>2784</v>
      </c>
      <c r="N649" s="1">
        <v>286</v>
      </c>
      <c r="O649" s="1">
        <v>286</v>
      </c>
      <c r="P649" t="s">
        <v>2778</v>
      </c>
      <c r="Q64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49" s="1" t="s">
        <v>2779</v>
      </c>
    </row>
    <row r="650" spans="1:18" x14ac:dyDescent="0.25">
      <c r="A650" t="s">
        <v>67</v>
      </c>
      <c r="B650" t="s">
        <v>68</v>
      </c>
      <c r="C650" s="1">
        <v>160</v>
      </c>
      <c r="I650" s="1" t="s">
        <v>16</v>
      </c>
      <c r="M650" s="6" t="s">
        <v>2784</v>
      </c>
      <c r="P650">
        <v>2023</v>
      </c>
      <c r="Q650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650" s="1" t="s">
        <v>2782</v>
      </c>
    </row>
    <row r="651" spans="1:18" x14ac:dyDescent="0.25">
      <c r="A651" t="s">
        <v>1724</v>
      </c>
      <c r="B651" t="s">
        <v>1725</v>
      </c>
      <c r="C651" s="1">
        <v>61</v>
      </c>
      <c r="I651" s="1">
        <v>0</v>
      </c>
      <c r="J651" s="1">
        <v>0</v>
      </c>
      <c r="K651" s="1">
        <v>0</v>
      </c>
      <c r="L651" s="1">
        <v>0</v>
      </c>
      <c r="M651" s="6" t="s">
        <v>2784</v>
      </c>
      <c r="N651" s="1">
        <v>1</v>
      </c>
      <c r="O651" s="1">
        <v>1</v>
      </c>
      <c r="P651" t="s">
        <v>2778</v>
      </c>
      <c r="Q65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51" s="1" t="s">
        <v>2779</v>
      </c>
    </row>
    <row r="652" spans="1:18" x14ac:dyDescent="0.25">
      <c r="A652" t="s">
        <v>1728</v>
      </c>
      <c r="B652" t="s">
        <v>1729</v>
      </c>
      <c r="C652" s="1">
        <v>1200</v>
      </c>
      <c r="I652" s="1">
        <v>0</v>
      </c>
      <c r="J652" s="1">
        <v>0</v>
      </c>
      <c r="K652" s="1">
        <v>0</v>
      </c>
      <c r="L652" s="1">
        <v>0</v>
      </c>
      <c r="M652" s="6" t="s">
        <v>2784</v>
      </c>
      <c r="N652" s="1">
        <v>481</v>
      </c>
      <c r="O652" s="1">
        <v>481</v>
      </c>
      <c r="P652" t="s">
        <v>2778</v>
      </c>
      <c r="Q6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52" s="1" t="s">
        <v>2779</v>
      </c>
    </row>
    <row r="653" spans="1:18" x14ac:dyDescent="0.25">
      <c r="A653" t="s">
        <v>1296</v>
      </c>
      <c r="B653" t="s">
        <v>1297</v>
      </c>
      <c r="C653" s="1">
        <v>385</v>
      </c>
      <c r="D653" s="1">
        <v>1</v>
      </c>
      <c r="E653" s="1">
        <v>1</v>
      </c>
      <c r="G653" s="1">
        <v>1</v>
      </c>
      <c r="H653" s="1">
        <v>3</v>
      </c>
      <c r="I653" s="1">
        <v>109</v>
      </c>
      <c r="J653" s="1">
        <v>2</v>
      </c>
      <c r="K653" s="1">
        <v>0</v>
      </c>
      <c r="L653" s="1">
        <v>111</v>
      </c>
      <c r="M653" s="6">
        <f>(Table2[[#This Row],[Grand Total of Lead Service Lines Replaced]]/(Table2[[#This Row],[Total to be identified or replaced]]+Table2[[#This Row],[Grand Total of Lead Service Lines Replaced]]))</f>
        <v>2.6315789473684209E-2</v>
      </c>
      <c r="N653" s="1">
        <v>90</v>
      </c>
      <c r="O653" s="1">
        <v>201</v>
      </c>
      <c r="P653" t="s">
        <v>2778</v>
      </c>
      <c r="Q65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53" s="1" t="s">
        <v>2783</v>
      </c>
    </row>
    <row r="654" spans="1:18" x14ac:dyDescent="0.25">
      <c r="A654" t="s">
        <v>1009</v>
      </c>
      <c r="B654" t="s">
        <v>1010</v>
      </c>
      <c r="C654" s="1">
        <v>1657</v>
      </c>
      <c r="D654" s="1">
        <v>2</v>
      </c>
      <c r="F654" s="1">
        <v>214</v>
      </c>
      <c r="G654" s="1">
        <v>38</v>
      </c>
      <c r="H654" s="1">
        <v>254</v>
      </c>
      <c r="I654" s="1">
        <v>0</v>
      </c>
      <c r="J654" s="1">
        <v>0</v>
      </c>
      <c r="K654" s="1">
        <v>0</v>
      </c>
      <c r="L654" s="1">
        <v>0</v>
      </c>
      <c r="M654" s="6">
        <f>(Table2[[#This Row],[Grand Total of Lead Service Lines Replaced]]/(Table2[[#This Row],[Total to be identified or replaced]]+Table2[[#This Row],[Grand Total of Lead Service Lines Replaced]]))</f>
        <v>1</v>
      </c>
      <c r="N654" s="1">
        <v>640</v>
      </c>
      <c r="O654" s="1">
        <v>640</v>
      </c>
      <c r="P654" t="s">
        <v>2778</v>
      </c>
      <c r="Q654" t="s">
        <v>2785</v>
      </c>
      <c r="R654" s="7" t="s">
        <v>2786</v>
      </c>
    </row>
    <row r="655" spans="1:18" x14ac:dyDescent="0.25">
      <c r="A655" t="s">
        <v>1730</v>
      </c>
      <c r="B655" t="s">
        <v>1731</v>
      </c>
      <c r="C655" s="1">
        <v>50</v>
      </c>
      <c r="I655" s="1">
        <v>0</v>
      </c>
      <c r="J655" s="1">
        <v>0</v>
      </c>
      <c r="K655" s="1">
        <v>0</v>
      </c>
      <c r="L655" s="1">
        <v>0</v>
      </c>
      <c r="M655" s="6" t="s">
        <v>2784</v>
      </c>
      <c r="N655" s="1">
        <v>1</v>
      </c>
      <c r="O655" s="1">
        <v>1</v>
      </c>
      <c r="P655" t="s">
        <v>2778</v>
      </c>
      <c r="Q65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55" s="1" t="s">
        <v>2779</v>
      </c>
    </row>
    <row r="656" spans="1:18" x14ac:dyDescent="0.25">
      <c r="A656" t="s">
        <v>625</v>
      </c>
      <c r="B656" t="s">
        <v>626</v>
      </c>
      <c r="C656" s="1">
        <v>11825</v>
      </c>
      <c r="D656" s="1">
        <v>5</v>
      </c>
      <c r="E656" s="1">
        <v>4</v>
      </c>
      <c r="F656" s="1">
        <v>4</v>
      </c>
      <c r="G656" s="1">
        <v>7</v>
      </c>
      <c r="H656" s="1">
        <v>20</v>
      </c>
      <c r="I656" s="1">
        <v>561</v>
      </c>
      <c r="J656" s="1">
        <v>0</v>
      </c>
      <c r="K656" s="1">
        <v>165</v>
      </c>
      <c r="L656" s="1">
        <v>726</v>
      </c>
      <c r="M656" s="6">
        <f>(Table2[[#This Row],[Grand Total of Lead Service Lines Replaced]]/(Table2[[#This Row],[Total to be identified or replaced]]+Table2[[#This Row],[Grand Total of Lead Service Lines Replaced]]))</f>
        <v>2.6809651474530832E-2</v>
      </c>
      <c r="N656" s="1">
        <v>4281</v>
      </c>
      <c r="O656" s="1">
        <v>5007</v>
      </c>
      <c r="P656" t="s">
        <v>2778</v>
      </c>
      <c r="Q65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56" s="1" t="s">
        <v>2783</v>
      </c>
    </row>
    <row r="657" spans="1:18" x14ac:dyDescent="0.25">
      <c r="A657" t="s">
        <v>1732</v>
      </c>
      <c r="B657" t="s">
        <v>1733</v>
      </c>
      <c r="C657" s="1">
        <v>7341</v>
      </c>
      <c r="I657" s="1">
        <v>0</v>
      </c>
      <c r="J657" s="1">
        <v>0</v>
      </c>
      <c r="K657" s="1">
        <v>0</v>
      </c>
      <c r="L657" s="1">
        <v>0</v>
      </c>
      <c r="M657" s="6" t="s">
        <v>2784</v>
      </c>
      <c r="N657" s="1">
        <v>1008</v>
      </c>
      <c r="O657" s="1">
        <v>1008</v>
      </c>
      <c r="P657" t="s">
        <v>2778</v>
      </c>
      <c r="Q65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57" s="1" t="s">
        <v>2779</v>
      </c>
    </row>
    <row r="658" spans="1:18" x14ac:dyDescent="0.25">
      <c r="A658" t="s">
        <v>1736</v>
      </c>
      <c r="B658" t="s">
        <v>1737</v>
      </c>
      <c r="C658" s="1">
        <v>398</v>
      </c>
      <c r="I658" s="1">
        <v>0</v>
      </c>
      <c r="J658" s="1">
        <v>0</v>
      </c>
      <c r="K658" s="1">
        <v>0</v>
      </c>
      <c r="L658" s="1">
        <v>0</v>
      </c>
      <c r="M658" s="6" t="s">
        <v>2784</v>
      </c>
      <c r="N658" s="1">
        <v>265</v>
      </c>
      <c r="O658" s="1">
        <v>265</v>
      </c>
      <c r="P658" t="s">
        <v>2778</v>
      </c>
      <c r="Q65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58" s="1" t="s">
        <v>2779</v>
      </c>
    </row>
    <row r="659" spans="1:18" x14ac:dyDescent="0.25">
      <c r="A659" t="s">
        <v>1738</v>
      </c>
      <c r="B659" t="s">
        <v>1739</v>
      </c>
      <c r="C659" s="1">
        <v>240</v>
      </c>
      <c r="I659" s="1">
        <v>0</v>
      </c>
      <c r="J659" s="1">
        <v>0</v>
      </c>
      <c r="K659" s="1">
        <v>0</v>
      </c>
      <c r="L659" s="1">
        <v>0</v>
      </c>
      <c r="M659" s="6" t="s">
        <v>2784</v>
      </c>
      <c r="N659" s="1">
        <v>75</v>
      </c>
      <c r="O659" s="1">
        <v>75</v>
      </c>
      <c r="P659" t="s">
        <v>2778</v>
      </c>
      <c r="Q65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59" s="1" t="s">
        <v>2779</v>
      </c>
    </row>
    <row r="660" spans="1:18" x14ac:dyDescent="0.25">
      <c r="A660" t="s">
        <v>1740</v>
      </c>
      <c r="B660" t="s">
        <v>1741</v>
      </c>
      <c r="C660" s="1">
        <v>4695</v>
      </c>
      <c r="I660" s="1">
        <v>0</v>
      </c>
      <c r="J660" s="1">
        <v>0</v>
      </c>
      <c r="K660" s="1">
        <v>0</v>
      </c>
      <c r="L660" s="1">
        <v>0</v>
      </c>
      <c r="M660" s="6" t="s">
        <v>2784</v>
      </c>
      <c r="N660" s="1">
        <v>850</v>
      </c>
      <c r="O660" s="1">
        <v>850</v>
      </c>
      <c r="P660" t="s">
        <v>2778</v>
      </c>
      <c r="Q66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60" s="1" t="s">
        <v>2779</v>
      </c>
    </row>
    <row r="661" spans="1:18" x14ac:dyDescent="0.25">
      <c r="A661" t="s">
        <v>229</v>
      </c>
      <c r="B661" t="s">
        <v>230</v>
      </c>
      <c r="C661" s="1">
        <v>13</v>
      </c>
      <c r="I661" s="1" t="s">
        <v>16</v>
      </c>
      <c r="M661" s="6" t="s">
        <v>2784</v>
      </c>
      <c r="P661">
        <v>2023</v>
      </c>
      <c r="Q661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661" s="1" t="s">
        <v>2782</v>
      </c>
    </row>
    <row r="662" spans="1:18" x14ac:dyDescent="0.25">
      <c r="A662" t="s">
        <v>1744</v>
      </c>
      <c r="B662" t="s">
        <v>1745</v>
      </c>
      <c r="C662" s="1">
        <v>72</v>
      </c>
      <c r="I662" s="1">
        <v>0</v>
      </c>
      <c r="J662" s="1">
        <v>0</v>
      </c>
      <c r="K662" s="1">
        <v>0</v>
      </c>
      <c r="L662" s="1">
        <v>0</v>
      </c>
      <c r="M662" s="6" t="s">
        <v>2784</v>
      </c>
      <c r="N662" s="1">
        <v>31</v>
      </c>
      <c r="O662" s="1">
        <v>31</v>
      </c>
      <c r="P662" t="s">
        <v>2778</v>
      </c>
      <c r="Q66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62" s="1" t="s">
        <v>2779</v>
      </c>
    </row>
    <row r="663" spans="1:18" x14ac:dyDescent="0.25">
      <c r="A663" t="s">
        <v>1748</v>
      </c>
      <c r="B663" t="s">
        <v>1749</v>
      </c>
      <c r="C663" s="1">
        <v>640</v>
      </c>
      <c r="I663" s="1">
        <v>0</v>
      </c>
      <c r="J663" s="1">
        <v>0</v>
      </c>
      <c r="K663" s="1">
        <v>0</v>
      </c>
      <c r="L663" s="1">
        <v>0</v>
      </c>
      <c r="M663" s="6" t="s">
        <v>2784</v>
      </c>
      <c r="N663" s="1">
        <v>200</v>
      </c>
      <c r="O663" s="1">
        <v>200</v>
      </c>
      <c r="P663" t="s">
        <v>2778</v>
      </c>
      <c r="Q6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63" s="1" t="s">
        <v>2779</v>
      </c>
    </row>
    <row r="664" spans="1:18" x14ac:dyDescent="0.25">
      <c r="A664" t="s">
        <v>1750</v>
      </c>
      <c r="B664" t="s">
        <v>1751</v>
      </c>
      <c r="C664" s="1">
        <v>24</v>
      </c>
      <c r="I664" s="1">
        <v>0</v>
      </c>
      <c r="J664" s="1">
        <v>0</v>
      </c>
      <c r="K664" s="1">
        <v>0</v>
      </c>
      <c r="L664" s="1">
        <v>0</v>
      </c>
      <c r="M664" s="6" t="s">
        <v>2784</v>
      </c>
      <c r="N664" s="1">
        <v>1</v>
      </c>
      <c r="O664" s="1">
        <v>1</v>
      </c>
      <c r="P664" t="s">
        <v>2778</v>
      </c>
      <c r="Q66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64" s="1" t="s">
        <v>2779</v>
      </c>
    </row>
    <row r="665" spans="1:18" x14ac:dyDescent="0.25">
      <c r="A665" t="s">
        <v>1752</v>
      </c>
      <c r="B665" t="s">
        <v>1753</v>
      </c>
      <c r="C665" s="1">
        <v>24</v>
      </c>
      <c r="I665" s="1">
        <v>0</v>
      </c>
      <c r="J665" s="1">
        <v>0</v>
      </c>
      <c r="K665" s="1">
        <v>0</v>
      </c>
      <c r="L665" s="1">
        <v>0</v>
      </c>
      <c r="M665" s="6" t="s">
        <v>2784</v>
      </c>
      <c r="N665" s="1">
        <v>1</v>
      </c>
      <c r="O665" s="1">
        <v>1</v>
      </c>
      <c r="P665" t="s">
        <v>2778</v>
      </c>
      <c r="Q66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65" s="1" t="s">
        <v>2779</v>
      </c>
    </row>
    <row r="666" spans="1:18" x14ac:dyDescent="0.25">
      <c r="A666" t="s">
        <v>1754</v>
      </c>
      <c r="B666" t="s">
        <v>1755</v>
      </c>
      <c r="C666" s="1">
        <v>24</v>
      </c>
      <c r="I666" s="1">
        <v>0</v>
      </c>
      <c r="J666" s="1">
        <v>0</v>
      </c>
      <c r="K666" s="1">
        <v>0</v>
      </c>
      <c r="L666" s="1">
        <v>0</v>
      </c>
      <c r="M666" s="6" t="s">
        <v>2784</v>
      </c>
      <c r="N666" s="1">
        <v>1</v>
      </c>
      <c r="O666" s="1">
        <v>1</v>
      </c>
      <c r="P666" t="s">
        <v>2778</v>
      </c>
      <c r="Q66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66" s="1" t="s">
        <v>2779</v>
      </c>
    </row>
    <row r="667" spans="1:18" x14ac:dyDescent="0.25">
      <c r="A667" t="s">
        <v>1756</v>
      </c>
      <c r="B667" t="s">
        <v>1757</v>
      </c>
      <c r="C667" s="1">
        <v>24</v>
      </c>
      <c r="I667" s="1">
        <v>0</v>
      </c>
      <c r="J667" s="1">
        <v>0</v>
      </c>
      <c r="K667" s="1">
        <v>0</v>
      </c>
      <c r="L667" s="1">
        <v>0</v>
      </c>
      <c r="M667" s="6" t="s">
        <v>2784</v>
      </c>
      <c r="N667" s="1">
        <v>1</v>
      </c>
      <c r="O667" s="1">
        <v>1</v>
      </c>
      <c r="P667" t="s">
        <v>2778</v>
      </c>
      <c r="Q66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67" s="1" t="s">
        <v>2779</v>
      </c>
    </row>
    <row r="668" spans="1:18" x14ac:dyDescent="0.25">
      <c r="A668" t="s">
        <v>1758</v>
      </c>
      <c r="B668" t="s">
        <v>1759</v>
      </c>
      <c r="C668" s="1">
        <v>231</v>
      </c>
      <c r="I668" s="1">
        <v>0</v>
      </c>
      <c r="J668" s="1">
        <v>0</v>
      </c>
      <c r="K668" s="1">
        <v>0</v>
      </c>
      <c r="L668" s="1">
        <v>0</v>
      </c>
      <c r="M668" s="6" t="s">
        <v>2784</v>
      </c>
      <c r="N668" s="1">
        <v>66</v>
      </c>
      <c r="O668" s="1">
        <v>66</v>
      </c>
      <c r="P668" t="s">
        <v>2778</v>
      </c>
      <c r="Q66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68" s="1" t="s">
        <v>2779</v>
      </c>
    </row>
    <row r="669" spans="1:18" x14ac:dyDescent="0.25">
      <c r="A669" t="s">
        <v>1760</v>
      </c>
      <c r="B669" t="s">
        <v>1761</v>
      </c>
      <c r="C669" s="1">
        <v>3584</v>
      </c>
      <c r="I669" s="1">
        <v>0</v>
      </c>
      <c r="J669" s="1">
        <v>0</v>
      </c>
      <c r="K669" s="1">
        <v>0</v>
      </c>
      <c r="L669" s="1">
        <v>0</v>
      </c>
      <c r="M669" s="6" t="s">
        <v>2784</v>
      </c>
      <c r="N669" s="1">
        <v>1255</v>
      </c>
      <c r="O669" s="1">
        <v>1255</v>
      </c>
      <c r="P669" t="s">
        <v>2778</v>
      </c>
      <c r="Q66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69" s="1" t="s">
        <v>2779</v>
      </c>
    </row>
    <row r="670" spans="1:18" x14ac:dyDescent="0.25">
      <c r="A670" t="s">
        <v>1762</v>
      </c>
      <c r="B670" t="s">
        <v>1763</v>
      </c>
      <c r="C670" s="1">
        <v>4177</v>
      </c>
      <c r="I670" s="1">
        <v>0</v>
      </c>
      <c r="J670" s="1">
        <v>0</v>
      </c>
      <c r="K670" s="1">
        <v>0</v>
      </c>
      <c r="L670" s="1">
        <v>0</v>
      </c>
      <c r="M670" s="6" t="s">
        <v>2784</v>
      </c>
      <c r="N670" s="1">
        <v>1724</v>
      </c>
      <c r="O670" s="1">
        <v>1724</v>
      </c>
      <c r="P670" t="s">
        <v>2778</v>
      </c>
      <c r="Q67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70" s="1" t="s">
        <v>2779</v>
      </c>
    </row>
    <row r="671" spans="1:18" x14ac:dyDescent="0.25">
      <c r="A671" t="s">
        <v>503</v>
      </c>
      <c r="B671" t="s">
        <v>504</v>
      </c>
      <c r="C671" s="1">
        <v>3124</v>
      </c>
      <c r="D671" s="1">
        <v>1</v>
      </c>
      <c r="E671" s="1">
        <v>5</v>
      </c>
      <c r="F671" s="1">
        <v>9</v>
      </c>
      <c r="G671" s="1">
        <v>19</v>
      </c>
      <c r="H671" s="1">
        <v>34</v>
      </c>
      <c r="I671" s="1">
        <v>76</v>
      </c>
      <c r="J671" s="1">
        <v>164</v>
      </c>
      <c r="K671" s="1">
        <v>979</v>
      </c>
      <c r="L671" s="1">
        <v>1219</v>
      </c>
      <c r="M671" s="6">
        <f>(Table2[[#This Row],[Grand Total of Lead Service Lines Replaced]]/(Table2[[#This Row],[Total to be identified or replaced]]+Table2[[#This Row],[Grand Total of Lead Service Lines Replaced]]))</f>
        <v>2.7134876296887472E-2</v>
      </c>
      <c r="N671" s="1">
        <v>965</v>
      </c>
      <c r="O671" s="1">
        <v>2184</v>
      </c>
      <c r="P671" t="s">
        <v>2778</v>
      </c>
      <c r="Q67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71" s="1" t="s">
        <v>2783</v>
      </c>
    </row>
    <row r="672" spans="1:18" x14ac:dyDescent="0.25">
      <c r="A672" t="s">
        <v>1764</v>
      </c>
      <c r="B672" t="s">
        <v>1765</v>
      </c>
      <c r="C672" s="1">
        <v>1287</v>
      </c>
      <c r="L672" s="1">
        <v>0</v>
      </c>
      <c r="M672" s="6" t="s">
        <v>2784</v>
      </c>
      <c r="N672" s="1">
        <v>423</v>
      </c>
      <c r="O672" s="1">
        <v>423</v>
      </c>
      <c r="P672" t="s">
        <v>2778</v>
      </c>
      <c r="Q67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72" s="1" t="s">
        <v>2779</v>
      </c>
    </row>
    <row r="673" spans="1:18" x14ac:dyDescent="0.25">
      <c r="A673" t="s">
        <v>1766</v>
      </c>
      <c r="B673" t="s">
        <v>1767</v>
      </c>
      <c r="C673" s="1">
        <v>220</v>
      </c>
      <c r="L673" s="1">
        <v>0</v>
      </c>
      <c r="M673" s="6" t="s">
        <v>2784</v>
      </c>
      <c r="N673" s="1">
        <v>25</v>
      </c>
      <c r="O673" s="1">
        <v>25</v>
      </c>
      <c r="P673" t="s">
        <v>2778</v>
      </c>
      <c r="Q6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73" s="1" t="s">
        <v>2779</v>
      </c>
    </row>
    <row r="674" spans="1:18" x14ac:dyDescent="0.25">
      <c r="A674" t="s">
        <v>399</v>
      </c>
      <c r="B674" t="s">
        <v>400</v>
      </c>
      <c r="C674" s="1">
        <v>8257</v>
      </c>
      <c r="D674" s="1">
        <v>2</v>
      </c>
      <c r="E674" s="1">
        <v>5</v>
      </c>
      <c r="F674" s="1">
        <v>47</v>
      </c>
      <c r="H674" s="1">
        <v>54</v>
      </c>
      <c r="I674" s="1">
        <v>298</v>
      </c>
      <c r="J674" s="1">
        <v>9</v>
      </c>
      <c r="K674" s="1">
        <v>1617</v>
      </c>
      <c r="L674" s="1">
        <v>1924</v>
      </c>
      <c r="M674" s="6">
        <f>(Table2[[#This Row],[Grand Total of Lead Service Lines Replaced]]/(Table2[[#This Row],[Total to be identified or replaced]]+Table2[[#This Row],[Grand Total of Lead Service Lines Replaced]]))</f>
        <v>2.7300303336703743E-2</v>
      </c>
      <c r="N674" s="1">
        <v>880</v>
      </c>
      <c r="O674" s="1">
        <v>2804</v>
      </c>
      <c r="P674" t="s">
        <v>2778</v>
      </c>
      <c r="Q67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74" s="1" t="s">
        <v>2783</v>
      </c>
    </row>
    <row r="675" spans="1:18" x14ac:dyDescent="0.25">
      <c r="A675" t="s">
        <v>265</v>
      </c>
      <c r="B675" t="s">
        <v>266</v>
      </c>
      <c r="C675" s="1">
        <v>49504</v>
      </c>
      <c r="E675" s="1">
        <v>12</v>
      </c>
      <c r="F675" s="1">
        <v>109</v>
      </c>
      <c r="G675" s="1">
        <v>30</v>
      </c>
      <c r="H675" s="1">
        <v>151</v>
      </c>
      <c r="I675" s="1">
        <v>94</v>
      </c>
      <c r="J675" s="1">
        <v>0</v>
      </c>
      <c r="K675" s="1">
        <v>4922</v>
      </c>
      <c r="L675" s="1">
        <v>5016</v>
      </c>
      <c r="M675" s="6">
        <f>(Table2[[#This Row],[Grand Total of Lead Service Lines Replaced]]/(Table2[[#This Row],[Total to be identified or replaced]]+Table2[[#This Row],[Grand Total of Lead Service Lines Replaced]]))</f>
        <v>2.922392103735243E-2</v>
      </c>
      <c r="N675" s="1">
        <v>15310</v>
      </c>
      <c r="O675" s="1">
        <v>20326</v>
      </c>
      <c r="P675">
        <v>2024</v>
      </c>
      <c r="Q67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75" s="1" t="s">
        <v>2783</v>
      </c>
    </row>
    <row r="676" spans="1:18" x14ac:dyDescent="0.25">
      <c r="A676" t="s">
        <v>109</v>
      </c>
      <c r="B676" t="s">
        <v>110</v>
      </c>
      <c r="C676" s="1">
        <v>9182</v>
      </c>
      <c r="E676" s="1">
        <v>7</v>
      </c>
      <c r="F676" s="1">
        <v>6</v>
      </c>
      <c r="G676" s="1">
        <v>6</v>
      </c>
      <c r="H676" s="1">
        <v>19</v>
      </c>
      <c r="I676" s="1">
        <v>0</v>
      </c>
      <c r="J676" s="1">
        <v>115</v>
      </c>
      <c r="K676" s="1">
        <v>505</v>
      </c>
      <c r="L676" s="1">
        <v>620</v>
      </c>
      <c r="M676" s="6">
        <f>(Table2[[#This Row],[Grand Total of Lead Service Lines Replaced]]/(Table2[[#This Row],[Total to be identified or replaced]]+Table2[[#This Row],[Grand Total of Lead Service Lines Replaced]]))</f>
        <v>2.9733959311424099E-2</v>
      </c>
      <c r="N676" s="1">
        <v>2379</v>
      </c>
      <c r="O676" s="1">
        <v>2999</v>
      </c>
      <c r="P676" t="s">
        <v>2778</v>
      </c>
      <c r="Q67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76" s="1" t="s">
        <v>2783</v>
      </c>
    </row>
    <row r="677" spans="1:18" x14ac:dyDescent="0.25">
      <c r="A677" t="s">
        <v>1768</v>
      </c>
      <c r="B677" t="s">
        <v>1769</v>
      </c>
      <c r="C677" s="1">
        <v>80</v>
      </c>
      <c r="I677" s="1">
        <v>0</v>
      </c>
      <c r="J677" s="1">
        <v>0</v>
      </c>
      <c r="K677" s="1">
        <v>0</v>
      </c>
      <c r="L677" s="1">
        <v>0</v>
      </c>
      <c r="M677" s="6" t="s">
        <v>2784</v>
      </c>
      <c r="N677" s="1">
        <v>2</v>
      </c>
      <c r="O677" s="1">
        <v>2</v>
      </c>
      <c r="P677" t="s">
        <v>2778</v>
      </c>
      <c r="Q67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77" s="1" t="s">
        <v>2779</v>
      </c>
    </row>
    <row r="678" spans="1:18" x14ac:dyDescent="0.25">
      <c r="A678" t="s">
        <v>1346</v>
      </c>
      <c r="B678" t="s">
        <v>1347</v>
      </c>
      <c r="C678" s="1">
        <v>2377</v>
      </c>
      <c r="G678" s="1">
        <v>1</v>
      </c>
      <c r="H678" s="1">
        <v>1</v>
      </c>
      <c r="I678" s="1">
        <v>9</v>
      </c>
      <c r="J678" s="1">
        <v>23</v>
      </c>
      <c r="K678" s="1">
        <v>0</v>
      </c>
      <c r="L678" s="1">
        <v>32</v>
      </c>
      <c r="M678" s="6">
        <f>(Table2[[#This Row],[Grand Total of Lead Service Lines Replaced]]/(Table2[[#This Row],[Total to be identified or replaced]]+Table2[[#This Row],[Grand Total of Lead Service Lines Replaced]]))</f>
        <v>3.0303030303030304E-2</v>
      </c>
      <c r="N678" s="1">
        <v>778</v>
      </c>
      <c r="O678" s="1">
        <v>810</v>
      </c>
      <c r="P678" t="s">
        <v>2778</v>
      </c>
      <c r="Q67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78" s="1" t="s">
        <v>2783</v>
      </c>
    </row>
    <row r="679" spans="1:18" x14ac:dyDescent="0.25">
      <c r="A679" t="s">
        <v>1772</v>
      </c>
      <c r="B679" t="s">
        <v>1773</v>
      </c>
      <c r="C679" s="1">
        <v>2018</v>
      </c>
      <c r="I679" s="1">
        <v>0</v>
      </c>
      <c r="J679" s="1">
        <v>0</v>
      </c>
      <c r="K679" s="1">
        <v>0</v>
      </c>
      <c r="L679" s="1">
        <v>0</v>
      </c>
      <c r="M679" s="6" t="s">
        <v>2784</v>
      </c>
      <c r="N679" s="1">
        <v>875</v>
      </c>
      <c r="O679" s="1">
        <v>875</v>
      </c>
      <c r="P679" t="s">
        <v>2778</v>
      </c>
      <c r="Q6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79" s="1" t="s">
        <v>2779</v>
      </c>
    </row>
    <row r="680" spans="1:18" x14ac:dyDescent="0.25">
      <c r="A680" t="s">
        <v>329</v>
      </c>
      <c r="B680" t="s">
        <v>330</v>
      </c>
      <c r="C680" s="1">
        <v>16314</v>
      </c>
      <c r="D680" s="1">
        <v>11</v>
      </c>
      <c r="E680" s="1">
        <v>25</v>
      </c>
      <c r="F680" s="1">
        <v>13</v>
      </c>
      <c r="G680" s="1">
        <v>35</v>
      </c>
      <c r="H680" s="1">
        <v>84</v>
      </c>
      <c r="I680" s="1">
        <v>779</v>
      </c>
      <c r="J680" s="1">
        <v>66</v>
      </c>
      <c r="K680" s="1">
        <v>1817</v>
      </c>
      <c r="L680" s="1">
        <v>2662</v>
      </c>
      <c r="M680" s="6">
        <f>(Table2[[#This Row],[Grand Total of Lead Service Lines Replaced]]/(Table2[[#This Row],[Total to be identified or replaced]]+Table2[[#This Row],[Grand Total of Lead Service Lines Replaced]]))</f>
        <v>3.058994901675164E-2</v>
      </c>
      <c r="N680" s="1">
        <v>3356</v>
      </c>
      <c r="O680" s="1">
        <v>6018</v>
      </c>
      <c r="P680" t="s">
        <v>2778</v>
      </c>
      <c r="Q68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80" s="1" t="s">
        <v>2783</v>
      </c>
    </row>
    <row r="681" spans="1:18" x14ac:dyDescent="0.25">
      <c r="A681" t="s">
        <v>1674</v>
      </c>
      <c r="B681" t="s">
        <v>1675</v>
      </c>
      <c r="C681" s="1">
        <v>900</v>
      </c>
      <c r="I681" s="1">
        <v>0</v>
      </c>
      <c r="J681" s="1">
        <v>0</v>
      </c>
      <c r="K681" s="1">
        <v>0</v>
      </c>
      <c r="L681" s="1">
        <v>0</v>
      </c>
      <c r="M681" s="6" t="s">
        <v>2784</v>
      </c>
      <c r="N681" s="1">
        <v>110</v>
      </c>
      <c r="O681" s="1">
        <v>110</v>
      </c>
      <c r="P681" t="s">
        <v>2778</v>
      </c>
      <c r="Q6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81" s="1" t="s">
        <v>2779</v>
      </c>
    </row>
    <row r="682" spans="1:18" x14ac:dyDescent="0.25">
      <c r="A682" t="s">
        <v>1776</v>
      </c>
      <c r="B682" t="s">
        <v>1777</v>
      </c>
      <c r="C682" s="1">
        <v>74</v>
      </c>
      <c r="I682" s="1">
        <v>0</v>
      </c>
      <c r="J682" s="1">
        <v>0</v>
      </c>
      <c r="K682" s="1">
        <v>0</v>
      </c>
      <c r="L682" s="1">
        <v>0</v>
      </c>
      <c r="M682" s="6" t="s">
        <v>2784</v>
      </c>
      <c r="N682" s="1">
        <v>6</v>
      </c>
      <c r="O682" s="1">
        <v>6</v>
      </c>
      <c r="P682" t="s">
        <v>2778</v>
      </c>
      <c r="Q68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82" s="1" t="s">
        <v>2779</v>
      </c>
    </row>
    <row r="683" spans="1:18" x14ac:dyDescent="0.25">
      <c r="A683" t="s">
        <v>1778</v>
      </c>
      <c r="B683" t="s">
        <v>1779</v>
      </c>
      <c r="C683" s="1">
        <v>52</v>
      </c>
      <c r="I683" s="1">
        <v>0</v>
      </c>
      <c r="J683" s="1">
        <v>0</v>
      </c>
      <c r="K683" s="1">
        <v>0</v>
      </c>
      <c r="L683" s="1">
        <v>0</v>
      </c>
      <c r="M683" s="6" t="s">
        <v>2784</v>
      </c>
      <c r="N683" s="1">
        <v>21</v>
      </c>
      <c r="O683" s="1">
        <v>21</v>
      </c>
      <c r="P683" t="s">
        <v>2778</v>
      </c>
      <c r="Q68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83" s="1" t="s">
        <v>2779</v>
      </c>
    </row>
    <row r="684" spans="1:18" x14ac:dyDescent="0.25">
      <c r="A684" t="s">
        <v>1780</v>
      </c>
      <c r="B684" t="s">
        <v>1781</v>
      </c>
      <c r="C684" s="1">
        <v>38</v>
      </c>
      <c r="I684" s="1">
        <v>0</v>
      </c>
      <c r="J684" s="1">
        <v>0</v>
      </c>
      <c r="K684" s="1">
        <v>0</v>
      </c>
      <c r="L684" s="1">
        <v>0</v>
      </c>
      <c r="M684" s="6" t="s">
        <v>2784</v>
      </c>
      <c r="N684" s="1">
        <v>1</v>
      </c>
      <c r="O684" s="1">
        <v>1</v>
      </c>
      <c r="P684" t="s">
        <v>2778</v>
      </c>
      <c r="Q68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84" s="1" t="s">
        <v>2779</v>
      </c>
    </row>
    <row r="685" spans="1:18" x14ac:dyDescent="0.25">
      <c r="A685" t="s">
        <v>1782</v>
      </c>
      <c r="B685" t="s">
        <v>1783</v>
      </c>
      <c r="C685" s="1">
        <v>84</v>
      </c>
      <c r="I685" s="1">
        <v>0</v>
      </c>
      <c r="J685" s="1">
        <v>0</v>
      </c>
      <c r="K685" s="1">
        <v>0</v>
      </c>
      <c r="L685" s="1">
        <v>0</v>
      </c>
      <c r="M685" s="6" t="s">
        <v>2784</v>
      </c>
      <c r="N685" s="1">
        <v>42</v>
      </c>
      <c r="O685" s="1">
        <v>42</v>
      </c>
      <c r="P685" t="s">
        <v>2778</v>
      </c>
      <c r="Q68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85" s="1" t="s">
        <v>2779</v>
      </c>
    </row>
    <row r="686" spans="1:18" x14ac:dyDescent="0.25">
      <c r="A686" t="s">
        <v>1784</v>
      </c>
      <c r="B686" t="s">
        <v>1785</v>
      </c>
      <c r="C686" s="1">
        <v>115</v>
      </c>
      <c r="J686" s="1">
        <v>0</v>
      </c>
      <c r="L686" s="1">
        <v>0</v>
      </c>
      <c r="M686" s="6" t="s">
        <v>2784</v>
      </c>
      <c r="N686" s="1">
        <v>44</v>
      </c>
      <c r="O686" s="1">
        <v>44</v>
      </c>
      <c r="P686" t="s">
        <v>2778</v>
      </c>
      <c r="Q68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86" s="1" t="s">
        <v>2779</v>
      </c>
    </row>
    <row r="687" spans="1:18" x14ac:dyDescent="0.25">
      <c r="A687" t="s">
        <v>1786</v>
      </c>
      <c r="B687" t="s">
        <v>1787</v>
      </c>
      <c r="C687" s="1">
        <v>93</v>
      </c>
      <c r="I687" s="1">
        <v>0</v>
      </c>
      <c r="J687" s="1">
        <v>0</v>
      </c>
      <c r="K687" s="1">
        <v>0</v>
      </c>
      <c r="L687" s="1">
        <v>0</v>
      </c>
      <c r="M687" s="6" t="s">
        <v>2784</v>
      </c>
      <c r="N687" s="1">
        <v>11</v>
      </c>
      <c r="O687" s="1">
        <v>11</v>
      </c>
      <c r="P687" t="s">
        <v>2778</v>
      </c>
      <c r="Q68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87" s="1" t="s">
        <v>2779</v>
      </c>
    </row>
    <row r="688" spans="1:18" x14ac:dyDescent="0.25">
      <c r="A688" t="s">
        <v>1788</v>
      </c>
      <c r="B688" t="s">
        <v>1789</v>
      </c>
      <c r="C688" s="1">
        <v>118</v>
      </c>
      <c r="I688" s="1">
        <v>0</v>
      </c>
      <c r="J688" s="1">
        <v>0</v>
      </c>
      <c r="K688" s="1">
        <v>0</v>
      </c>
      <c r="L688" s="1">
        <v>0</v>
      </c>
      <c r="M688" s="6" t="s">
        <v>2784</v>
      </c>
      <c r="N688" s="1">
        <v>47</v>
      </c>
      <c r="O688" s="1">
        <v>47</v>
      </c>
      <c r="P688" t="s">
        <v>2778</v>
      </c>
      <c r="Q68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88" s="1" t="s">
        <v>2779</v>
      </c>
    </row>
    <row r="689" spans="1:18" x14ac:dyDescent="0.25">
      <c r="A689" t="s">
        <v>1792</v>
      </c>
      <c r="B689" t="s">
        <v>1793</v>
      </c>
      <c r="C689" s="1">
        <v>132</v>
      </c>
      <c r="L689" s="1">
        <v>0</v>
      </c>
      <c r="M689" s="6" t="s">
        <v>2784</v>
      </c>
      <c r="N689" s="1">
        <v>51</v>
      </c>
      <c r="O689" s="1">
        <v>51</v>
      </c>
      <c r="P689" t="s">
        <v>2778</v>
      </c>
      <c r="Q68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89" s="1" t="s">
        <v>2779</v>
      </c>
    </row>
    <row r="690" spans="1:18" x14ac:dyDescent="0.25">
      <c r="A690" t="s">
        <v>1210</v>
      </c>
      <c r="B690" t="s">
        <v>1211</v>
      </c>
      <c r="C690" s="1">
        <v>274</v>
      </c>
      <c r="I690" s="1">
        <v>0</v>
      </c>
      <c r="J690" s="1">
        <v>0</v>
      </c>
      <c r="K690" s="1">
        <v>0</v>
      </c>
      <c r="L690" s="1">
        <v>0</v>
      </c>
      <c r="M690" s="6" t="s">
        <v>2784</v>
      </c>
      <c r="N690" s="1">
        <v>139</v>
      </c>
      <c r="O690" s="1">
        <v>139</v>
      </c>
      <c r="P690">
        <v>2023</v>
      </c>
      <c r="Q69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90" s="1" t="s">
        <v>2779</v>
      </c>
    </row>
    <row r="691" spans="1:18" x14ac:dyDescent="0.25">
      <c r="A691" t="s">
        <v>1796</v>
      </c>
      <c r="B691" t="s">
        <v>1797</v>
      </c>
      <c r="C691" s="1">
        <v>210</v>
      </c>
      <c r="I691" s="1">
        <v>0</v>
      </c>
      <c r="J691" s="1">
        <v>0</v>
      </c>
      <c r="K691" s="1">
        <v>0</v>
      </c>
      <c r="L691" s="1">
        <v>0</v>
      </c>
      <c r="M691" s="6" t="s">
        <v>2784</v>
      </c>
      <c r="N691" s="1">
        <v>14</v>
      </c>
      <c r="O691" s="1">
        <v>14</v>
      </c>
      <c r="P691" t="s">
        <v>2778</v>
      </c>
      <c r="Q69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91" s="1" t="s">
        <v>2779</v>
      </c>
    </row>
    <row r="692" spans="1:18" x14ac:dyDescent="0.25">
      <c r="A692" t="s">
        <v>1800</v>
      </c>
      <c r="B692" t="s">
        <v>1801</v>
      </c>
      <c r="C692" s="1">
        <v>82</v>
      </c>
      <c r="I692" s="1">
        <v>0</v>
      </c>
      <c r="J692" s="1">
        <v>0</v>
      </c>
      <c r="K692" s="1">
        <v>0</v>
      </c>
      <c r="L692" s="1">
        <v>0</v>
      </c>
      <c r="M692" s="6" t="s">
        <v>2784</v>
      </c>
      <c r="N692" s="1">
        <v>4</v>
      </c>
      <c r="O692" s="1">
        <v>4</v>
      </c>
      <c r="P692" t="s">
        <v>2778</v>
      </c>
      <c r="Q69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92" s="1" t="s">
        <v>2779</v>
      </c>
    </row>
    <row r="693" spans="1:18" x14ac:dyDescent="0.25">
      <c r="A693" t="s">
        <v>1802</v>
      </c>
      <c r="B693" t="s">
        <v>1803</v>
      </c>
      <c r="C693" s="1">
        <v>125</v>
      </c>
      <c r="J693" s="1">
        <v>0</v>
      </c>
      <c r="K693" s="1">
        <v>0</v>
      </c>
      <c r="L693" s="1">
        <v>0</v>
      </c>
      <c r="M693" s="6" t="s">
        <v>2784</v>
      </c>
      <c r="N693" s="1">
        <v>52</v>
      </c>
      <c r="O693" s="1">
        <v>52</v>
      </c>
      <c r="P693" t="s">
        <v>2778</v>
      </c>
      <c r="Q69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93" s="1" t="s">
        <v>2779</v>
      </c>
    </row>
    <row r="694" spans="1:18" x14ac:dyDescent="0.25">
      <c r="A694" t="s">
        <v>1804</v>
      </c>
      <c r="B694" t="s">
        <v>1805</v>
      </c>
      <c r="C694" s="1">
        <v>168</v>
      </c>
      <c r="I694" s="1">
        <v>0</v>
      </c>
      <c r="J694" s="1">
        <v>0</v>
      </c>
      <c r="K694" s="1">
        <v>0</v>
      </c>
      <c r="L694" s="1">
        <v>0</v>
      </c>
      <c r="M694" s="6" t="s">
        <v>2784</v>
      </c>
      <c r="N694" s="1">
        <v>40</v>
      </c>
      <c r="O694" s="1">
        <v>40</v>
      </c>
      <c r="P694" t="s">
        <v>2778</v>
      </c>
      <c r="Q69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94" s="1" t="s">
        <v>2779</v>
      </c>
    </row>
    <row r="695" spans="1:18" x14ac:dyDescent="0.25">
      <c r="A695" t="s">
        <v>179</v>
      </c>
      <c r="B695" t="s">
        <v>180</v>
      </c>
      <c r="C695" s="1">
        <v>50</v>
      </c>
      <c r="I695" s="1" t="s">
        <v>16</v>
      </c>
      <c r="M695" s="6" t="s">
        <v>2784</v>
      </c>
      <c r="P695" t="s">
        <v>2778</v>
      </c>
      <c r="Q695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695" s="1" t="s">
        <v>2782</v>
      </c>
    </row>
    <row r="696" spans="1:18" x14ac:dyDescent="0.25">
      <c r="A696" t="s">
        <v>887</v>
      </c>
      <c r="B696" t="s">
        <v>888</v>
      </c>
      <c r="C696" s="1">
        <v>954</v>
      </c>
      <c r="D696" s="1">
        <v>3</v>
      </c>
      <c r="F696" s="1">
        <v>7</v>
      </c>
      <c r="H696" s="1">
        <v>10</v>
      </c>
      <c r="I696" s="1">
        <v>187</v>
      </c>
      <c r="J696" s="1">
        <v>46</v>
      </c>
      <c r="K696" s="1">
        <v>83</v>
      </c>
      <c r="L696" s="1">
        <v>316</v>
      </c>
      <c r="M696" s="6">
        <f>(Table2[[#This Row],[Grand Total of Lead Service Lines Replaced]]/(Table2[[#This Row],[Total to be identified or replaced]]+Table2[[#This Row],[Grand Total of Lead Service Lines Replaced]]))</f>
        <v>3.0674846625766871E-2</v>
      </c>
      <c r="N696" s="1">
        <v>36</v>
      </c>
      <c r="O696" s="1">
        <v>410</v>
      </c>
      <c r="P696" t="s">
        <v>2778</v>
      </c>
      <c r="Q69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96" s="1" t="s">
        <v>2783</v>
      </c>
    </row>
    <row r="697" spans="1:18" x14ac:dyDescent="0.25">
      <c r="A697" t="s">
        <v>1808</v>
      </c>
      <c r="B697" t="s">
        <v>1809</v>
      </c>
      <c r="C697" s="1">
        <v>64</v>
      </c>
      <c r="I697" s="1">
        <v>0</v>
      </c>
      <c r="J697" s="1">
        <v>0</v>
      </c>
      <c r="K697" s="1">
        <v>0</v>
      </c>
      <c r="L697" s="1">
        <v>0</v>
      </c>
      <c r="M697" s="6" t="s">
        <v>2784</v>
      </c>
      <c r="N697" s="1">
        <v>8</v>
      </c>
      <c r="O697" s="1">
        <v>8</v>
      </c>
      <c r="P697" t="s">
        <v>2778</v>
      </c>
      <c r="Q69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97" s="1" t="s">
        <v>2779</v>
      </c>
    </row>
    <row r="698" spans="1:18" x14ac:dyDescent="0.25">
      <c r="A698" t="s">
        <v>1810</v>
      </c>
      <c r="B698" t="s">
        <v>1809</v>
      </c>
      <c r="C698" s="1">
        <v>50</v>
      </c>
      <c r="I698" s="1">
        <v>0</v>
      </c>
      <c r="J698" s="1">
        <v>0</v>
      </c>
      <c r="K698" s="1">
        <v>0</v>
      </c>
      <c r="L698" s="1">
        <v>0</v>
      </c>
      <c r="M698" s="6" t="s">
        <v>2784</v>
      </c>
      <c r="N698" s="1">
        <v>1</v>
      </c>
      <c r="O698" s="1">
        <v>1</v>
      </c>
      <c r="P698" t="s">
        <v>2778</v>
      </c>
      <c r="Q69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698" s="1" t="s">
        <v>2779</v>
      </c>
    </row>
    <row r="699" spans="1:18" x14ac:dyDescent="0.25">
      <c r="A699" t="s">
        <v>1142</v>
      </c>
      <c r="B699" t="s">
        <v>1143</v>
      </c>
      <c r="C699" s="1">
        <v>874</v>
      </c>
      <c r="E699" s="1">
        <v>4</v>
      </c>
      <c r="F699" s="1">
        <v>1</v>
      </c>
      <c r="H699" s="1">
        <v>5</v>
      </c>
      <c r="I699" s="1">
        <v>102</v>
      </c>
      <c r="J699" s="1">
        <v>53</v>
      </c>
      <c r="K699" s="1">
        <v>0</v>
      </c>
      <c r="L699" s="1">
        <v>155</v>
      </c>
      <c r="M699" s="6">
        <f>(Table2[[#This Row],[Grand Total of Lead Service Lines Replaced]]/(Table2[[#This Row],[Total to be identified or replaced]]+Table2[[#This Row],[Grand Total of Lead Service Lines Replaced]]))</f>
        <v>3.125E-2</v>
      </c>
      <c r="N699" s="1">
        <v>119</v>
      </c>
      <c r="O699" s="1">
        <v>274</v>
      </c>
      <c r="P699" t="s">
        <v>2778</v>
      </c>
      <c r="Q69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699" s="1" t="s">
        <v>2783</v>
      </c>
    </row>
    <row r="700" spans="1:18" x14ac:dyDescent="0.25">
      <c r="A700" t="s">
        <v>1811</v>
      </c>
      <c r="B700" t="s">
        <v>1812</v>
      </c>
      <c r="C700" s="1">
        <v>380</v>
      </c>
      <c r="I700" s="1">
        <v>0</v>
      </c>
      <c r="J700" s="1">
        <v>0</v>
      </c>
      <c r="K700" s="1">
        <v>0</v>
      </c>
      <c r="L700" s="1">
        <v>0</v>
      </c>
      <c r="M700" s="6" t="s">
        <v>2784</v>
      </c>
      <c r="N700" s="1">
        <v>137</v>
      </c>
      <c r="O700" s="1">
        <v>137</v>
      </c>
      <c r="P700" t="s">
        <v>2778</v>
      </c>
      <c r="Q70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00" s="1" t="s">
        <v>2779</v>
      </c>
    </row>
    <row r="701" spans="1:18" x14ac:dyDescent="0.25">
      <c r="A701" t="s">
        <v>1813</v>
      </c>
      <c r="B701" t="s">
        <v>1814</v>
      </c>
      <c r="C701" s="1">
        <v>70</v>
      </c>
      <c r="I701" s="1">
        <v>0</v>
      </c>
      <c r="J701" s="1">
        <v>0</v>
      </c>
      <c r="K701" s="1">
        <v>0</v>
      </c>
      <c r="L701" s="1">
        <v>0</v>
      </c>
      <c r="M701" s="6" t="s">
        <v>2784</v>
      </c>
      <c r="N701" s="1">
        <v>27</v>
      </c>
      <c r="O701" s="1">
        <v>27</v>
      </c>
      <c r="P701" t="s">
        <v>2778</v>
      </c>
      <c r="Q70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01" s="1" t="s">
        <v>2779</v>
      </c>
    </row>
    <row r="702" spans="1:18" x14ac:dyDescent="0.25">
      <c r="A702" t="s">
        <v>1815</v>
      </c>
      <c r="B702" t="s">
        <v>1816</v>
      </c>
      <c r="C702" s="1">
        <v>52</v>
      </c>
      <c r="I702" s="1">
        <v>0</v>
      </c>
      <c r="J702" s="1">
        <v>0</v>
      </c>
      <c r="K702" s="1">
        <v>0</v>
      </c>
      <c r="L702" s="1">
        <v>0</v>
      </c>
      <c r="M702" s="6" t="s">
        <v>2784</v>
      </c>
      <c r="N702" s="1">
        <v>31</v>
      </c>
      <c r="O702" s="1">
        <v>31</v>
      </c>
      <c r="P702" t="s">
        <v>2778</v>
      </c>
      <c r="Q70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02" s="1" t="s">
        <v>2779</v>
      </c>
    </row>
    <row r="703" spans="1:18" x14ac:dyDescent="0.25">
      <c r="A703" t="s">
        <v>1817</v>
      </c>
      <c r="B703" t="s">
        <v>1818</v>
      </c>
      <c r="C703" s="1">
        <v>36</v>
      </c>
      <c r="I703" s="1">
        <v>0</v>
      </c>
      <c r="J703" s="1">
        <v>0</v>
      </c>
      <c r="K703" s="1">
        <v>0</v>
      </c>
      <c r="L703" s="1">
        <v>0</v>
      </c>
      <c r="M703" s="6" t="s">
        <v>2784</v>
      </c>
      <c r="N703" s="1">
        <v>22</v>
      </c>
      <c r="O703" s="1">
        <v>22</v>
      </c>
      <c r="P703" t="s">
        <v>2778</v>
      </c>
      <c r="Q70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03" s="1" t="s">
        <v>2779</v>
      </c>
    </row>
    <row r="704" spans="1:18" x14ac:dyDescent="0.25">
      <c r="A704" t="s">
        <v>1554</v>
      </c>
      <c r="B704" t="s">
        <v>1555</v>
      </c>
      <c r="C704" s="1">
        <v>120</v>
      </c>
      <c r="I704" s="1">
        <v>0</v>
      </c>
      <c r="J704" s="1">
        <v>0</v>
      </c>
      <c r="K704" s="1">
        <v>0</v>
      </c>
      <c r="L704" s="1">
        <v>0</v>
      </c>
      <c r="M704" s="6" t="s">
        <v>2784</v>
      </c>
      <c r="N704" s="1">
        <v>110</v>
      </c>
      <c r="O704" s="1">
        <v>110</v>
      </c>
      <c r="P704" t="s">
        <v>2778</v>
      </c>
      <c r="Q70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04" s="1" t="s">
        <v>2779</v>
      </c>
    </row>
    <row r="705" spans="1:18" x14ac:dyDescent="0.25">
      <c r="A705" t="s">
        <v>1819</v>
      </c>
      <c r="B705" t="s">
        <v>1820</v>
      </c>
      <c r="C705" s="1">
        <v>2300</v>
      </c>
      <c r="D705" s="1">
        <v>18</v>
      </c>
      <c r="E705" s="1">
        <v>18</v>
      </c>
      <c r="H705" s="1">
        <v>36</v>
      </c>
      <c r="I705" s="1">
        <v>0</v>
      </c>
      <c r="J705" s="1">
        <v>0</v>
      </c>
      <c r="K705" s="1">
        <v>0</v>
      </c>
      <c r="L705" s="1">
        <v>0</v>
      </c>
      <c r="M705" s="6">
        <f>(Table2[[#This Row],[Grand Total of Lead Service Lines Replaced]]/(Table2[[#This Row],[Total to be identified or replaced]]+Table2[[#This Row],[Grand Total of Lead Service Lines Replaced]]))</f>
        <v>1</v>
      </c>
      <c r="N705" s="1">
        <v>1145</v>
      </c>
      <c r="O705" s="1">
        <v>1145</v>
      </c>
      <c r="P705" t="s">
        <v>2778</v>
      </c>
      <c r="Q705" t="s">
        <v>2785</v>
      </c>
      <c r="R705" s="7" t="s">
        <v>2786</v>
      </c>
    </row>
    <row r="706" spans="1:18" x14ac:dyDescent="0.25">
      <c r="A706" t="s">
        <v>1821</v>
      </c>
      <c r="B706" t="s">
        <v>1822</v>
      </c>
      <c r="C706" s="1">
        <v>166000</v>
      </c>
      <c r="I706" s="1">
        <v>0</v>
      </c>
      <c r="J706" s="1">
        <v>0</v>
      </c>
      <c r="K706" s="1">
        <v>0</v>
      </c>
      <c r="L706" s="1">
        <v>0</v>
      </c>
      <c r="M706" s="6" t="s">
        <v>2784</v>
      </c>
      <c r="N706" s="1">
        <v>57339</v>
      </c>
      <c r="O706" s="1">
        <v>57339</v>
      </c>
      <c r="P706" t="s">
        <v>2778</v>
      </c>
      <c r="Q70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06" s="1" t="s">
        <v>2779</v>
      </c>
    </row>
    <row r="707" spans="1:18" x14ac:dyDescent="0.25">
      <c r="A707" t="s">
        <v>1823</v>
      </c>
      <c r="B707" t="s">
        <v>1824</v>
      </c>
      <c r="C707" s="1">
        <v>5500</v>
      </c>
      <c r="I707" s="1">
        <v>0</v>
      </c>
      <c r="J707" s="1">
        <v>0</v>
      </c>
      <c r="K707" s="1">
        <v>0</v>
      </c>
      <c r="L707" s="1">
        <v>0</v>
      </c>
      <c r="M707" s="6" t="s">
        <v>2784</v>
      </c>
      <c r="N707" s="1">
        <v>2244</v>
      </c>
      <c r="O707" s="1">
        <v>2244</v>
      </c>
      <c r="P707" t="s">
        <v>2778</v>
      </c>
      <c r="Q70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07" s="1" t="s">
        <v>2779</v>
      </c>
    </row>
    <row r="708" spans="1:18" x14ac:dyDescent="0.25">
      <c r="A708" t="s">
        <v>1656</v>
      </c>
      <c r="B708" t="s">
        <v>1657</v>
      </c>
      <c r="C708" s="1">
        <v>52</v>
      </c>
      <c r="I708" s="1">
        <v>0</v>
      </c>
      <c r="J708" s="1">
        <v>0</v>
      </c>
      <c r="K708" s="1">
        <v>0</v>
      </c>
      <c r="L708" s="1">
        <v>0</v>
      </c>
      <c r="M708" s="6" t="s">
        <v>2784</v>
      </c>
      <c r="N708" s="1">
        <v>4</v>
      </c>
      <c r="O708" s="1">
        <v>4</v>
      </c>
      <c r="P708" t="s">
        <v>2778</v>
      </c>
      <c r="Q70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08" s="1" t="s">
        <v>2779</v>
      </c>
    </row>
    <row r="709" spans="1:18" x14ac:dyDescent="0.25">
      <c r="A709" t="s">
        <v>187</v>
      </c>
      <c r="B709" t="s">
        <v>188</v>
      </c>
      <c r="C709" s="1">
        <v>50</v>
      </c>
      <c r="I709" s="1" t="s">
        <v>16</v>
      </c>
      <c r="M709" s="6" t="s">
        <v>2784</v>
      </c>
      <c r="P709" t="s">
        <v>2778</v>
      </c>
      <c r="Q709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709" s="1" t="s">
        <v>2782</v>
      </c>
    </row>
    <row r="710" spans="1:18" x14ac:dyDescent="0.25">
      <c r="A710" t="s">
        <v>1530</v>
      </c>
      <c r="B710" t="s">
        <v>1531</v>
      </c>
      <c r="C710" s="1">
        <v>465</v>
      </c>
      <c r="I710" s="1">
        <v>0</v>
      </c>
      <c r="J710" s="1">
        <v>0</v>
      </c>
      <c r="K710" s="1">
        <v>0</v>
      </c>
      <c r="L710" s="1">
        <v>0</v>
      </c>
      <c r="M710" s="6" t="s">
        <v>2784</v>
      </c>
      <c r="N710" s="1">
        <v>156</v>
      </c>
      <c r="O710" s="1">
        <v>156</v>
      </c>
      <c r="P710">
        <v>2023</v>
      </c>
      <c r="Q71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10" s="1" t="s">
        <v>2779</v>
      </c>
    </row>
    <row r="711" spans="1:18" x14ac:dyDescent="0.25">
      <c r="A711" t="s">
        <v>1827</v>
      </c>
      <c r="B711" t="s">
        <v>1828</v>
      </c>
      <c r="C711" s="1">
        <v>2878</v>
      </c>
      <c r="I711" s="1">
        <v>0</v>
      </c>
      <c r="J711" s="1">
        <v>0</v>
      </c>
      <c r="K711" s="1">
        <v>0</v>
      </c>
      <c r="L711" s="1">
        <v>0</v>
      </c>
      <c r="M711" s="6" t="s">
        <v>2784</v>
      </c>
      <c r="N711" s="1">
        <v>1310</v>
      </c>
      <c r="O711" s="1">
        <v>1310</v>
      </c>
      <c r="P711" t="s">
        <v>2778</v>
      </c>
      <c r="Q71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11" s="1" t="s">
        <v>2779</v>
      </c>
    </row>
    <row r="712" spans="1:18" x14ac:dyDescent="0.25">
      <c r="A712" t="s">
        <v>257</v>
      </c>
      <c r="B712" t="s">
        <v>258</v>
      </c>
      <c r="C712" s="1">
        <v>33000</v>
      </c>
      <c r="D712" s="1">
        <v>38</v>
      </c>
      <c r="E712" s="1">
        <v>35</v>
      </c>
      <c r="F712" s="1">
        <v>67</v>
      </c>
      <c r="G712" s="1">
        <v>30</v>
      </c>
      <c r="H712" s="1">
        <v>170</v>
      </c>
      <c r="I712" s="1">
        <v>105</v>
      </c>
      <c r="J712" s="1">
        <v>63</v>
      </c>
      <c r="K712" s="1">
        <v>4971</v>
      </c>
      <c r="L712" s="1">
        <v>5139</v>
      </c>
      <c r="M712" s="6">
        <f>(Table2[[#This Row],[Grand Total of Lead Service Lines Replaced]]/(Table2[[#This Row],[Total to be identified or replaced]]+Table2[[#This Row],[Grand Total of Lead Service Lines Replaced]]))</f>
        <v>3.2021096251648146E-2</v>
      </c>
      <c r="N712" s="1">
        <v>3228</v>
      </c>
      <c r="O712" s="1">
        <v>8367</v>
      </c>
      <c r="P712" t="s">
        <v>2778</v>
      </c>
      <c r="Q71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12" s="1" t="s">
        <v>2783</v>
      </c>
    </row>
    <row r="713" spans="1:18" x14ac:dyDescent="0.25">
      <c r="A713" t="s">
        <v>579</v>
      </c>
      <c r="B713" t="s">
        <v>580</v>
      </c>
      <c r="C713" s="1">
        <v>2421</v>
      </c>
      <c r="E713" s="1">
        <v>4</v>
      </c>
      <c r="F713" s="1">
        <v>4</v>
      </c>
      <c r="G713" s="1">
        <v>13</v>
      </c>
      <c r="H713" s="1">
        <v>21</v>
      </c>
      <c r="I713" s="1">
        <v>298</v>
      </c>
      <c r="J713" s="1">
        <v>319</v>
      </c>
      <c r="K713" s="1">
        <v>0</v>
      </c>
      <c r="L713" s="1">
        <v>617</v>
      </c>
      <c r="M713" s="6">
        <f>(Table2[[#This Row],[Grand Total of Lead Service Lines Replaced]]/(Table2[[#This Row],[Total to be identified or replaced]]+Table2[[#This Row],[Grand Total of Lead Service Lines Replaced]]))</f>
        <v>3.2915360501567396E-2</v>
      </c>
      <c r="N713" s="1">
        <v>320</v>
      </c>
      <c r="O713" s="1">
        <v>937</v>
      </c>
      <c r="P713" t="s">
        <v>2778</v>
      </c>
      <c r="Q71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13" s="1" t="s">
        <v>2783</v>
      </c>
    </row>
    <row r="714" spans="1:18" x14ac:dyDescent="0.25">
      <c r="A714" t="s">
        <v>2133</v>
      </c>
      <c r="B714" t="s">
        <v>2134</v>
      </c>
      <c r="C714" s="1">
        <v>649</v>
      </c>
      <c r="G714" s="1">
        <v>1</v>
      </c>
      <c r="H714" s="1">
        <v>1</v>
      </c>
      <c r="I714" s="1">
        <v>0</v>
      </c>
      <c r="J714" s="1">
        <v>29</v>
      </c>
      <c r="K714" s="1">
        <v>0</v>
      </c>
      <c r="L714" s="1">
        <v>29</v>
      </c>
      <c r="M714" s="6">
        <f>(Table2[[#This Row],[Grand Total of Lead Service Lines Replaced]]/(Table2[[#This Row],[Total to be identified or replaced]]+Table2[[#This Row],[Grand Total of Lead Service Lines Replaced]]))</f>
        <v>3.3333333333333333E-2</v>
      </c>
      <c r="N714" s="1">
        <v>251</v>
      </c>
      <c r="O714" s="1">
        <v>280</v>
      </c>
      <c r="P714" t="s">
        <v>2778</v>
      </c>
      <c r="Q71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14" s="1" t="s">
        <v>2783</v>
      </c>
    </row>
    <row r="715" spans="1:18" x14ac:dyDescent="0.25">
      <c r="A715" t="s">
        <v>605</v>
      </c>
      <c r="B715" t="s">
        <v>606</v>
      </c>
      <c r="C715" s="1">
        <v>3197</v>
      </c>
      <c r="D715" s="1">
        <v>12</v>
      </c>
      <c r="E715" s="1">
        <v>4</v>
      </c>
      <c r="F715" s="1">
        <v>6</v>
      </c>
      <c r="G715" s="1">
        <v>7</v>
      </c>
      <c r="H715" s="1">
        <v>29</v>
      </c>
      <c r="I715" s="1">
        <v>0</v>
      </c>
      <c r="J715" s="1">
        <v>81</v>
      </c>
      <c r="K715" s="1">
        <v>685</v>
      </c>
      <c r="L715" s="1">
        <v>766</v>
      </c>
      <c r="M715" s="6">
        <f>(Table2[[#This Row],[Grand Total of Lead Service Lines Replaced]]/(Table2[[#This Row],[Total to be identified or replaced]]+Table2[[#This Row],[Grand Total of Lead Service Lines Replaced]]))</f>
        <v>3.6477987421383647E-2</v>
      </c>
      <c r="N715" s="1">
        <v>696</v>
      </c>
      <c r="O715" s="1">
        <v>1462</v>
      </c>
      <c r="P715" t="s">
        <v>2778</v>
      </c>
      <c r="Q71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15" s="1" t="s">
        <v>2783</v>
      </c>
    </row>
    <row r="716" spans="1:18" x14ac:dyDescent="0.25">
      <c r="A716" t="s">
        <v>1833</v>
      </c>
      <c r="B716" t="s">
        <v>1834</v>
      </c>
      <c r="C716" s="1">
        <v>283</v>
      </c>
      <c r="I716" s="1">
        <v>0</v>
      </c>
      <c r="J716" s="1">
        <v>0</v>
      </c>
      <c r="K716" s="1">
        <v>0</v>
      </c>
      <c r="L716" s="1">
        <v>0</v>
      </c>
      <c r="M716" s="6" t="s">
        <v>2784</v>
      </c>
      <c r="N716" s="1">
        <v>113</v>
      </c>
      <c r="O716" s="1">
        <v>113</v>
      </c>
      <c r="P716" t="s">
        <v>2778</v>
      </c>
      <c r="Q71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16" s="1" t="s">
        <v>2779</v>
      </c>
    </row>
    <row r="717" spans="1:18" x14ac:dyDescent="0.25">
      <c r="A717" t="s">
        <v>1835</v>
      </c>
      <c r="B717" t="s">
        <v>1836</v>
      </c>
      <c r="C717" s="1">
        <v>75</v>
      </c>
      <c r="I717" s="1">
        <v>0</v>
      </c>
      <c r="J717" s="1">
        <v>0</v>
      </c>
      <c r="K717" s="1">
        <v>0</v>
      </c>
      <c r="L717" s="1">
        <v>0</v>
      </c>
      <c r="M717" s="6" t="s">
        <v>2784</v>
      </c>
      <c r="N717" s="1">
        <v>2</v>
      </c>
      <c r="O717" s="1">
        <v>2</v>
      </c>
      <c r="P717" t="s">
        <v>2778</v>
      </c>
      <c r="Q71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17" s="1" t="s">
        <v>2779</v>
      </c>
    </row>
    <row r="718" spans="1:18" x14ac:dyDescent="0.25">
      <c r="A718" t="s">
        <v>1837</v>
      </c>
      <c r="B718" t="s">
        <v>1838</v>
      </c>
      <c r="C718" s="1">
        <v>210</v>
      </c>
      <c r="I718" s="1">
        <v>0</v>
      </c>
      <c r="J718" s="1">
        <v>0</v>
      </c>
      <c r="K718" s="1">
        <v>0</v>
      </c>
      <c r="L718" s="1">
        <v>0</v>
      </c>
      <c r="M718" s="6" t="s">
        <v>2784</v>
      </c>
      <c r="N718" s="1">
        <v>2</v>
      </c>
      <c r="O718" s="1">
        <v>2</v>
      </c>
      <c r="P718" t="s">
        <v>2778</v>
      </c>
      <c r="Q71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18" s="1" t="s">
        <v>2779</v>
      </c>
    </row>
    <row r="719" spans="1:18" x14ac:dyDescent="0.25">
      <c r="A719" t="s">
        <v>1841</v>
      </c>
      <c r="B719" t="s">
        <v>1842</v>
      </c>
      <c r="C719" s="1">
        <v>365</v>
      </c>
      <c r="I719" s="1">
        <v>0</v>
      </c>
      <c r="J719" s="1">
        <v>0</v>
      </c>
      <c r="K719" s="1">
        <v>0</v>
      </c>
      <c r="L719" s="1">
        <v>0</v>
      </c>
      <c r="M719" s="6" t="s">
        <v>2784</v>
      </c>
      <c r="N719" s="1">
        <v>259</v>
      </c>
      <c r="O719" s="1">
        <v>259</v>
      </c>
      <c r="P719" t="s">
        <v>2778</v>
      </c>
      <c r="Q71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19" s="1" t="s">
        <v>2779</v>
      </c>
    </row>
    <row r="720" spans="1:18" x14ac:dyDescent="0.25">
      <c r="A720" t="s">
        <v>1843</v>
      </c>
      <c r="B720" t="s">
        <v>1844</v>
      </c>
      <c r="C720" s="1">
        <v>3000</v>
      </c>
      <c r="I720" s="1">
        <v>0</v>
      </c>
      <c r="J720" s="1">
        <v>0</v>
      </c>
      <c r="K720" s="1">
        <v>0</v>
      </c>
      <c r="L720" s="1">
        <v>0</v>
      </c>
      <c r="M720" s="6" t="s">
        <v>2784</v>
      </c>
      <c r="N720" s="1">
        <v>184</v>
      </c>
      <c r="O720" s="1">
        <v>184</v>
      </c>
      <c r="P720" t="s">
        <v>2778</v>
      </c>
      <c r="Q72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20" s="1" t="s">
        <v>2779</v>
      </c>
    </row>
    <row r="721" spans="1:18" x14ac:dyDescent="0.25">
      <c r="A721" t="s">
        <v>2005</v>
      </c>
      <c r="B721" t="s">
        <v>2006</v>
      </c>
      <c r="C721" s="1">
        <v>12793</v>
      </c>
      <c r="I721" s="1">
        <v>0</v>
      </c>
      <c r="J721" s="1">
        <v>0</v>
      </c>
      <c r="K721" s="1">
        <v>0</v>
      </c>
      <c r="L721" s="1">
        <v>0</v>
      </c>
      <c r="M721" s="6" t="s">
        <v>2784</v>
      </c>
      <c r="N721" s="1">
        <v>339</v>
      </c>
      <c r="O721" s="1">
        <v>339</v>
      </c>
      <c r="P721">
        <v>2023</v>
      </c>
      <c r="Q72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21" s="1" t="s">
        <v>2779</v>
      </c>
    </row>
    <row r="722" spans="1:18" x14ac:dyDescent="0.25">
      <c r="A722" t="s">
        <v>75</v>
      </c>
      <c r="B722" t="s">
        <v>76</v>
      </c>
      <c r="C722" s="1">
        <v>150</v>
      </c>
      <c r="I722" s="1" t="s">
        <v>16</v>
      </c>
      <c r="M722" s="6" t="s">
        <v>2784</v>
      </c>
      <c r="P722" t="s">
        <v>2778</v>
      </c>
      <c r="Q722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722" s="1" t="s">
        <v>2782</v>
      </c>
    </row>
    <row r="723" spans="1:18" x14ac:dyDescent="0.25">
      <c r="A723" t="s">
        <v>1847</v>
      </c>
      <c r="B723" t="s">
        <v>1848</v>
      </c>
      <c r="C723" s="1">
        <v>1178</v>
      </c>
      <c r="L723" s="1">
        <v>0</v>
      </c>
      <c r="M723" s="6" t="s">
        <v>2784</v>
      </c>
      <c r="N723" s="1">
        <v>823</v>
      </c>
      <c r="O723" s="1">
        <v>823</v>
      </c>
      <c r="P723" t="s">
        <v>2778</v>
      </c>
      <c r="Q7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23" s="1" t="s">
        <v>2779</v>
      </c>
    </row>
    <row r="724" spans="1:18" x14ac:dyDescent="0.25">
      <c r="A724" t="s">
        <v>1849</v>
      </c>
      <c r="B724" t="s">
        <v>1850</v>
      </c>
      <c r="C724" s="1">
        <v>10</v>
      </c>
      <c r="I724" s="1">
        <v>0</v>
      </c>
      <c r="J724" s="1">
        <v>0</v>
      </c>
      <c r="K724" s="1">
        <v>0</v>
      </c>
      <c r="L724" s="1">
        <v>0</v>
      </c>
      <c r="M724" s="6" t="s">
        <v>2784</v>
      </c>
      <c r="N724" s="1">
        <v>21</v>
      </c>
      <c r="O724" s="1">
        <v>21</v>
      </c>
      <c r="P724" t="s">
        <v>2778</v>
      </c>
      <c r="Q72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24" s="1" t="s">
        <v>2779</v>
      </c>
    </row>
    <row r="725" spans="1:18" x14ac:dyDescent="0.25">
      <c r="A725" t="s">
        <v>1851</v>
      </c>
      <c r="B725" t="s">
        <v>1852</v>
      </c>
      <c r="C725" s="1">
        <v>48</v>
      </c>
      <c r="I725" s="1">
        <v>0</v>
      </c>
      <c r="J725" s="1">
        <v>0</v>
      </c>
      <c r="K725" s="1">
        <v>0</v>
      </c>
      <c r="L725" s="1">
        <v>0</v>
      </c>
      <c r="M725" s="6" t="s">
        <v>2784</v>
      </c>
      <c r="N725" s="1">
        <v>21</v>
      </c>
      <c r="O725" s="1">
        <v>21</v>
      </c>
      <c r="P725" t="s">
        <v>2778</v>
      </c>
      <c r="Q72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25" s="1" t="s">
        <v>2779</v>
      </c>
    </row>
    <row r="726" spans="1:18" x14ac:dyDescent="0.25">
      <c r="A726" t="s">
        <v>1853</v>
      </c>
      <c r="B726" t="s">
        <v>1854</v>
      </c>
      <c r="C726" s="1">
        <v>39</v>
      </c>
      <c r="I726" s="1">
        <v>0</v>
      </c>
      <c r="J726" s="1">
        <v>0</v>
      </c>
      <c r="K726" s="1">
        <v>0</v>
      </c>
      <c r="L726" s="1">
        <v>0</v>
      </c>
      <c r="M726" s="6" t="s">
        <v>2784</v>
      </c>
      <c r="N726" s="1">
        <v>1</v>
      </c>
      <c r="O726" s="1">
        <v>1</v>
      </c>
      <c r="P726" t="s">
        <v>2778</v>
      </c>
      <c r="Q72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26" s="1" t="s">
        <v>2779</v>
      </c>
    </row>
    <row r="727" spans="1:18" x14ac:dyDescent="0.25">
      <c r="A727" t="s">
        <v>1855</v>
      </c>
      <c r="B727" t="s">
        <v>1856</v>
      </c>
      <c r="C727" s="1">
        <v>30</v>
      </c>
      <c r="I727" s="1">
        <v>0</v>
      </c>
      <c r="J727" s="1">
        <v>0</v>
      </c>
      <c r="K727" s="1">
        <v>0</v>
      </c>
      <c r="L727" s="1">
        <v>0</v>
      </c>
      <c r="M727" s="6" t="s">
        <v>2784</v>
      </c>
      <c r="N727" s="1">
        <v>3</v>
      </c>
      <c r="O727" s="1">
        <v>3</v>
      </c>
      <c r="P727" t="s">
        <v>2778</v>
      </c>
      <c r="Q72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27" s="1" t="s">
        <v>2779</v>
      </c>
    </row>
    <row r="728" spans="1:18" x14ac:dyDescent="0.25">
      <c r="A728" t="s">
        <v>671</v>
      </c>
      <c r="B728" t="s">
        <v>672</v>
      </c>
      <c r="C728" s="1">
        <v>2688</v>
      </c>
      <c r="F728" s="1">
        <v>25</v>
      </c>
      <c r="H728" s="1">
        <v>25</v>
      </c>
      <c r="I728" s="1">
        <v>283</v>
      </c>
      <c r="J728" s="1">
        <v>340</v>
      </c>
      <c r="L728" s="1">
        <v>623</v>
      </c>
      <c r="M728" s="6">
        <f>(Table2[[#This Row],[Grand Total of Lead Service Lines Replaced]]/(Table2[[#This Row],[Total to be identified or replaced]]+Table2[[#This Row],[Grand Total of Lead Service Lines Replaced]]))</f>
        <v>3.8580246913580245E-2</v>
      </c>
      <c r="N728" s="1">
        <v>282</v>
      </c>
      <c r="O728" s="1">
        <v>905</v>
      </c>
      <c r="P728" t="s">
        <v>2778</v>
      </c>
      <c r="Q72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28" s="1" t="s">
        <v>2783</v>
      </c>
    </row>
    <row r="729" spans="1:18" x14ac:dyDescent="0.25">
      <c r="A729" t="s">
        <v>1857</v>
      </c>
      <c r="B729" t="s">
        <v>1858</v>
      </c>
      <c r="C729" s="1">
        <v>390</v>
      </c>
      <c r="I729" s="1">
        <v>0</v>
      </c>
      <c r="J729" s="1">
        <v>0</v>
      </c>
      <c r="K729" s="1">
        <v>0</v>
      </c>
      <c r="L729" s="1">
        <v>0</v>
      </c>
      <c r="M729" s="6" t="s">
        <v>2784</v>
      </c>
      <c r="N729" s="1">
        <v>162</v>
      </c>
      <c r="O729" s="1">
        <v>162</v>
      </c>
      <c r="P729" t="s">
        <v>2778</v>
      </c>
      <c r="Q72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29" s="1" t="s">
        <v>2779</v>
      </c>
    </row>
    <row r="730" spans="1:18" x14ac:dyDescent="0.25">
      <c r="A730" t="s">
        <v>1859</v>
      </c>
      <c r="B730" t="s">
        <v>1860</v>
      </c>
      <c r="C730" s="1">
        <v>92</v>
      </c>
      <c r="L730" s="1">
        <v>0</v>
      </c>
      <c r="M730" s="6" t="s">
        <v>2784</v>
      </c>
      <c r="N730" s="1">
        <v>57</v>
      </c>
      <c r="O730" s="1">
        <v>57</v>
      </c>
      <c r="P730" t="s">
        <v>2778</v>
      </c>
      <c r="Q7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30" s="1" t="s">
        <v>2779</v>
      </c>
    </row>
    <row r="731" spans="1:18" x14ac:dyDescent="0.25">
      <c r="A731" t="s">
        <v>1861</v>
      </c>
      <c r="B731" t="s">
        <v>1862</v>
      </c>
      <c r="C731" s="1">
        <v>236</v>
      </c>
      <c r="I731" s="1">
        <v>0</v>
      </c>
      <c r="J731" s="1">
        <v>0</v>
      </c>
      <c r="K731" s="1">
        <v>0</v>
      </c>
      <c r="L731" s="1">
        <v>0</v>
      </c>
      <c r="M731" s="6" t="s">
        <v>2784</v>
      </c>
      <c r="N731" s="1">
        <v>162</v>
      </c>
      <c r="O731" s="1">
        <v>162</v>
      </c>
      <c r="P731" t="s">
        <v>2778</v>
      </c>
      <c r="Q73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31" s="1" t="s">
        <v>2779</v>
      </c>
    </row>
    <row r="732" spans="1:18" x14ac:dyDescent="0.25">
      <c r="A732" t="s">
        <v>1863</v>
      </c>
      <c r="B732" t="s">
        <v>1864</v>
      </c>
      <c r="C732" s="1">
        <v>4150</v>
      </c>
      <c r="I732" s="1">
        <v>0</v>
      </c>
      <c r="J732" s="1">
        <v>0</v>
      </c>
      <c r="K732" s="1">
        <v>0</v>
      </c>
      <c r="L732" s="1">
        <v>0</v>
      </c>
      <c r="M732" s="6" t="s">
        <v>2784</v>
      </c>
      <c r="N732" s="1">
        <v>1310</v>
      </c>
      <c r="O732" s="1">
        <v>1310</v>
      </c>
      <c r="P732" t="s">
        <v>2778</v>
      </c>
      <c r="Q7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32" s="1" t="s">
        <v>2779</v>
      </c>
    </row>
    <row r="733" spans="1:18" x14ac:dyDescent="0.25">
      <c r="A733" t="s">
        <v>1865</v>
      </c>
      <c r="B733" t="s">
        <v>1866</v>
      </c>
      <c r="C733" s="1">
        <v>909</v>
      </c>
      <c r="I733" s="1">
        <v>0</v>
      </c>
      <c r="J733" s="1">
        <v>0</v>
      </c>
      <c r="K733" s="1">
        <v>0</v>
      </c>
      <c r="L733" s="1">
        <v>0</v>
      </c>
      <c r="M733" s="6" t="s">
        <v>2784</v>
      </c>
      <c r="N733" s="1">
        <v>383</v>
      </c>
      <c r="O733" s="1">
        <v>383</v>
      </c>
      <c r="P733" t="s">
        <v>2778</v>
      </c>
      <c r="Q73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33" s="1" t="s">
        <v>2779</v>
      </c>
    </row>
    <row r="734" spans="1:18" x14ac:dyDescent="0.25">
      <c r="A734" t="s">
        <v>1867</v>
      </c>
      <c r="B734" t="s">
        <v>1868</v>
      </c>
      <c r="C734" s="1">
        <v>1310</v>
      </c>
      <c r="I734" s="1">
        <v>0</v>
      </c>
      <c r="J734" s="1">
        <v>0</v>
      </c>
      <c r="K734" s="1">
        <v>0</v>
      </c>
      <c r="L734" s="1">
        <v>0</v>
      </c>
      <c r="M734" s="6" t="s">
        <v>2784</v>
      </c>
      <c r="N734" s="1">
        <v>574</v>
      </c>
      <c r="O734" s="1">
        <v>574</v>
      </c>
      <c r="P734" t="s">
        <v>2778</v>
      </c>
      <c r="Q73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34" s="1" t="s">
        <v>2779</v>
      </c>
    </row>
    <row r="735" spans="1:18" x14ac:dyDescent="0.25">
      <c r="A735" t="s">
        <v>1869</v>
      </c>
      <c r="B735" t="s">
        <v>1870</v>
      </c>
      <c r="C735" s="1">
        <v>1102</v>
      </c>
      <c r="I735" s="1">
        <v>0</v>
      </c>
      <c r="J735" s="1">
        <v>0</v>
      </c>
      <c r="K735" s="1">
        <v>0</v>
      </c>
      <c r="L735" s="1">
        <v>0</v>
      </c>
      <c r="M735" s="6" t="s">
        <v>2784</v>
      </c>
      <c r="N735" s="1">
        <v>421</v>
      </c>
      <c r="O735" s="1">
        <v>421</v>
      </c>
      <c r="P735" t="s">
        <v>2778</v>
      </c>
      <c r="Q73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35" s="1" t="s">
        <v>2779</v>
      </c>
    </row>
    <row r="736" spans="1:18" x14ac:dyDescent="0.25">
      <c r="A736" t="s">
        <v>1871</v>
      </c>
      <c r="B736" t="s">
        <v>1872</v>
      </c>
      <c r="C736" s="1">
        <v>4152</v>
      </c>
      <c r="I736" s="1">
        <v>0</v>
      </c>
      <c r="J736" s="1">
        <v>0</v>
      </c>
      <c r="K736" s="1">
        <v>0</v>
      </c>
      <c r="L736" s="1">
        <v>0</v>
      </c>
      <c r="M736" s="6" t="s">
        <v>2784</v>
      </c>
      <c r="N736" s="1">
        <v>1047</v>
      </c>
      <c r="O736" s="1">
        <v>1047</v>
      </c>
      <c r="P736" t="s">
        <v>2778</v>
      </c>
      <c r="Q73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36" s="1" t="s">
        <v>2779</v>
      </c>
    </row>
    <row r="737" spans="1:18" x14ac:dyDescent="0.25">
      <c r="A737" t="s">
        <v>463</v>
      </c>
      <c r="B737" t="s">
        <v>464</v>
      </c>
      <c r="C737" s="1">
        <v>6350</v>
      </c>
      <c r="D737" s="1">
        <v>3</v>
      </c>
      <c r="E737" s="1">
        <v>3</v>
      </c>
      <c r="F737" s="1">
        <v>6</v>
      </c>
      <c r="G737" s="1">
        <v>47</v>
      </c>
      <c r="H737" s="1">
        <v>59</v>
      </c>
      <c r="I737" s="1">
        <v>1068</v>
      </c>
      <c r="J737" s="1">
        <v>388</v>
      </c>
      <c r="K737" s="1">
        <v>0</v>
      </c>
      <c r="L737" s="1">
        <v>1456</v>
      </c>
      <c r="M737" s="6">
        <f>(Table2[[#This Row],[Grand Total of Lead Service Lines Replaced]]/(Table2[[#This Row],[Total to be identified or replaced]]+Table2[[#This Row],[Grand Total of Lead Service Lines Replaced]]))</f>
        <v>3.8943894389438946E-2</v>
      </c>
      <c r="N737" s="1">
        <v>1493</v>
      </c>
      <c r="O737" s="1">
        <v>2949</v>
      </c>
      <c r="P737">
        <v>2024</v>
      </c>
      <c r="Q73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37" s="1" t="s">
        <v>2783</v>
      </c>
    </row>
    <row r="738" spans="1:18" x14ac:dyDescent="0.25">
      <c r="A738" t="s">
        <v>413</v>
      </c>
      <c r="B738" t="s">
        <v>414</v>
      </c>
      <c r="C738" s="1">
        <v>8816</v>
      </c>
      <c r="D738" s="1">
        <v>20</v>
      </c>
      <c r="F738" s="1">
        <v>40</v>
      </c>
      <c r="G738" s="1">
        <v>7</v>
      </c>
      <c r="H738" s="1">
        <v>67</v>
      </c>
      <c r="I738" s="1">
        <v>20</v>
      </c>
      <c r="J738" s="1">
        <v>1627</v>
      </c>
      <c r="K738" s="1">
        <v>0</v>
      </c>
      <c r="L738" s="1">
        <v>1647</v>
      </c>
      <c r="M738" s="6">
        <f>(Table2[[#This Row],[Grand Total of Lead Service Lines Replaced]]/(Table2[[#This Row],[Total to be identified or replaced]]+Table2[[#This Row],[Grand Total of Lead Service Lines Replaced]]))</f>
        <v>3.9089848308051345E-2</v>
      </c>
      <c r="N738" s="1">
        <v>1389</v>
      </c>
      <c r="O738" s="1">
        <v>3036</v>
      </c>
      <c r="P738" t="s">
        <v>2778</v>
      </c>
      <c r="Q73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38" s="1" t="s">
        <v>2783</v>
      </c>
    </row>
    <row r="739" spans="1:18" x14ac:dyDescent="0.25">
      <c r="A739" t="s">
        <v>1873</v>
      </c>
      <c r="B739" t="s">
        <v>1874</v>
      </c>
      <c r="C739" s="1">
        <v>1778</v>
      </c>
      <c r="I739" s="1">
        <v>0</v>
      </c>
      <c r="J739" s="1">
        <v>0</v>
      </c>
      <c r="K739" s="1">
        <v>0</v>
      </c>
      <c r="L739" s="1">
        <v>0</v>
      </c>
      <c r="M739" s="6" t="s">
        <v>2784</v>
      </c>
      <c r="N739" s="1">
        <v>277</v>
      </c>
      <c r="O739" s="1">
        <v>277</v>
      </c>
      <c r="P739" t="s">
        <v>2778</v>
      </c>
      <c r="Q7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39" s="1" t="s">
        <v>2779</v>
      </c>
    </row>
    <row r="740" spans="1:18" x14ac:dyDescent="0.25">
      <c r="A740" t="s">
        <v>1875</v>
      </c>
      <c r="B740" t="s">
        <v>1876</v>
      </c>
      <c r="C740" s="1">
        <v>68</v>
      </c>
      <c r="I740" s="1">
        <v>0</v>
      </c>
      <c r="J740" s="1">
        <v>0</v>
      </c>
      <c r="K740" s="1">
        <v>0</v>
      </c>
      <c r="L740" s="1">
        <v>0</v>
      </c>
      <c r="M740" s="6" t="s">
        <v>2784</v>
      </c>
      <c r="N740" s="1">
        <v>27</v>
      </c>
      <c r="O740" s="1">
        <v>27</v>
      </c>
      <c r="P740" t="s">
        <v>2778</v>
      </c>
      <c r="Q7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40" s="1" t="s">
        <v>2779</v>
      </c>
    </row>
    <row r="741" spans="1:18" x14ac:dyDescent="0.25">
      <c r="A741" t="s">
        <v>1879</v>
      </c>
      <c r="B741" t="s">
        <v>1880</v>
      </c>
      <c r="C741" s="1">
        <v>273</v>
      </c>
      <c r="I741" s="1">
        <v>0</v>
      </c>
      <c r="J741" s="1">
        <v>0</v>
      </c>
      <c r="K741" s="1">
        <v>0</v>
      </c>
      <c r="L741" s="1">
        <v>0</v>
      </c>
      <c r="M741" s="6" t="s">
        <v>2784</v>
      </c>
      <c r="N741" s="1">
        <v>95</v>
      </c>
      <c r="O741" s="1">
        <v>95</v>
      </c>
      <c r="P741" t="s">
        <v>2778</v>
      </c>
      <c r="Q7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41" s="1" t="s">
        <v>2779</v>
      </c>
    </row>
    <row r="742" spans="1:18" x14ac:dyDescent="0.25">
      <c r="A742" t="s">
        <v>1881</v>
      </c>
      <c r="B742" t="s">
        <v>1882</v>
      </c>
      <c r="C742" s="1">
        <v>31</v>
      </c>
      <c r="I742" s="1">
        <v>0</v>
      </c>
      <c r="J742" s="1">
        <v>0</v>
      </c>
      <c r="K742" s="1">
        <v>0</v>
      </c>
      <c r="L742" s="1">
        <v>0</v>
      </c>
      <c r="M742" s="6" t="s">
        <v>2784</v>
      </c>
      <c r="N742" s="1">
        <v>3</v>
      </c>
      <c r="O742" s="1">
        <v>3</v>
      </c>
      <c r="P742" t="s">
        <v>2778</v>
      </c>
      <c r="Q74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42" s="1" t="s">
        <v>2779</v>
      </c>
    </row>
    <row r="743" spans="1:18" x14ac:dyDescent="0.25">
      <c r="A743" t="s">
        <v>1883</v>
      </c>
      <c r="B743" t="s">
        <v>1884</v>
      </c>
      <c r="C743" s="1">
        <v>90</v>
      </c>
      <c r="L743" s="1">
        <v>0</v>
      </c>
      <c r="M743" s="6" t="s">
        <v>2784</v>
      </c>
      <c r="N743" s="1">
        <v>10</v>
      </c>
      <c r="O743" s="1">
        <v>10</v>
      </c>
      <c r="P743" t="s">
        <v>2778</v>
      </c>
      <c r="Q7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43" s="1" t="s">
        <v>2779</v>
      </c>
    </row>
    <row r="744" spans="1:18" x14ac:dyDescent="0.25">
      <c r="A744" t="s">
        <v>765</v>
      </c>
      <c r="B744" t="s">
        <v>766</v>
      </c>
      <c r="C744" s="1">
        <v>1075</v>
      </c>
      <c r="D744" s="1">
        <v>3</v>
      </c>
      <c r="E744" s="1">
        <v>5</v>
      </c>
      <c r="F744" s="1">
        <v>4</v>
      </c>
      <c r="G744" s="1">
        <v>7</v>
      </c>
      <c r="H744" s="1">
        <v>19</v>
      </c>
      <c r="I744" s="1">
        <v>0</v>
      </c>
      <c r="J744" s="1">
        <v>57</v>
      </c>
      <c r="K744" s="1">
        <v>393</v>
      </c>
      <c r="L744" s="1">
        <v>450</v>
      </c>
      <c r="M744" s="6">
        <f>(Table2[[#This Row],[Grand Total of Lead Service Lines Replaced]]/(Table2[[#This Row],[Total to be identified or replaced]]+Table2[[#This Row],[Grand Total of Lead Service Lines Replaced]]))</f>
        <v>4.0511727078891259E-2</v>
      </c>
      <c r="N744" s="1">
        <v>27</v>
      </c>
      <c r="O744" s="1">
        <v>477</v>
      </c>
      <c r="P744" t="s">
        <v>2778</v>
      </c>
      <c r="Q74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44" s="1" t="s">
        <v>2783</v>
      </c>
    </row>
    <row r="745" spans="1:18" x14ac:dyDescent="0.25">
      <c r="A745" t="s">
        <v>1885</v>
      </c>
      <c r="B745" t="s">
        <v>1886</v>
      </c>
      <c r="C745" s="1">
        <v>1958</v>
      </c>
      <c r="I745" s="1">
        <v>0</v>
      </c>
      <c r="J745" s="1">
        <v>0</v>
      </c>
      <c r="K745" s="1">
        <v>0</v>
      </c>
      <c r="L745" s="1">
        <v>0</v>
      </c>
      <c r="M745" s="6" t="s">
        <v>2784</v>
      </c>
      <c r="N745" s="1">
        <v>928</v>
      </c>
      <c r="O745" s="1">
        <v>928</v>
      </c>
      <c r="P745" t="s">
        <v>2778</v>
      </c>
      <c r="Q7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45" s="1" t="s">
        <v>2779</v>
      </c>
    </row>
    <row r="746" spans="1:18" x14ac:dyDescent="0.25">
      <c r="A746" t="s">
        <v>545</v>
      </c>
      <c r="B746" t="s">
        <v>546</v>
      </c>
      <c r="C746" s="1">
        <v>8979</v>
      </c>
      <c r="D746" s="1">
        <v>5</v>
      </c>
      <c r="E746" s="1">
        <v>10</v>
      </c>
      <c r="F746" s="1">
        <v>23</v>
      </c>
      <c r="G746" s="1">
        <v>5</v>
      </c>
      <c r="H746" s="1">
        <v>43</v>
      </c>
      <c r="I746" s="1">
        <v>5</v>
      </c>
      <c r="J746" s="1">
        <v>159</v>
      </c>
      <c r="K746" s="1">
        <v>840</v>
      </c>
      <c r="L746" s="1">
        <v>1004</v>
      </c>
      <c r="M746" s="6">
        <f>(Table2[[#This Row],[Grand Total of Lead Service Lines Replaced]]/(Table2[[#This Row],[Total to be identified or replaced]]+Table2[[#This Row],[Grand Total of Lead Service Lines Replaced]]))</f>
        <v>4.1069723018147083E-2</v>
      </c>
      <c r="N746" s="1">
        <v>2451</v>
      </c>
      <c r="O746" s="1">
        <v>3455</v>
      </c>
      <c r="P746" t="s">
        <v>2778</v>
      </c>
      <c r="Q74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46" s="1" t="s">
        <v>2783</v>
      </c>
    </row>
    <row r="747" spans="1:18" x14ac:dyDescent="0.25">
      <c r="A747" t="s">
        <v>1887</v>
      </c>
      <c r="B747" t="s">
        <v>1888</v>
      </c>
      <c r="C747" s="1">
        <v>40</v>
      </c>
      <c r="I747" s="1">
        <v>0</v>
      </c>
      <c r="J747" s="1">
        <v>0</v>
      </c>
      <c r="K747" s="1">
        <v>0</v>
      </c>
      <c r="L747" s="1">
        <v>0</v>
      </c>
      <c r="M747" s="6" t="s">
        <v>2784</v>
      </c>
      <c r="N747" s="1">
        <v>6</v>
      </c>
      <c r="O747" s="1">
        <v>6</v>
      </c>
      <c r="P747" t="s">
        <v>2778</v>
      </c>
      <c r="Q74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47" s="1" t="s">
        <v>2779</v>
      </c>
    </row>
    <row r="748" spans="1:18" x14ac:dyDescent="0.25">
      <c r="A748" t="s">
        <v>899</v>
      </c>
      <c r="B748" t="s">
        <v>900</v>
      </c>
      <c r="C748" s="1">
        <v>2571</v>
      </c>
      <c r="D748" s="1">
        <v>6</v>
      </c>
      <c r="F748" s="1">
        <v>8</v>
      </c>
      <c r="H748" s="1">
        <v>14</v>
      </c>
      <c r="I748" s="1">
        <v>5</v>
      </c>
      <c r="J748" s="1">
        <v>173</v>
      </c>
      <c r="K748" s="1">
        <v>120</v>
      </c>
      <c r="L748" s="1">
        <v>298</v>
      </c>
      <c r="M748" s="6">
        <f>(Table2[[#This Row],[Grand Total of Lead Service Lines Replaced]]/(Table2[[#This Row],[Total to be identified or replaced]]+Table2[[#This Row],[Grand Total of Lead Service Lines Replaced]]))</f>
        <v>4.4871794871794872E-2</v>
      </c>
      <c r="N748" s="1">
        <v>321</v>
      </c>
      <c r="O748" s="1">
        <v>619</v>
      </c>
      <c r="P748" t="s">
        <v>2778</v>
      </c>
      <c r="Q74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48" s="1" t="s">
        <v>2783</v>
      </c>
    </row>
    <row r="749" spans="1:18" x14ac:dyDescent="0.25">
      <c r="A749" t="s">
        <v>1891</v>
      </c>
      <c r="B749" t="s">
        <v>1892</v>
      </c>
      <c r="C749" s="1">
        <v>789</v>
      </c>
      <c r="I749" s="1">
        <v>0</v>
      </c>
      <c r="J749" s="1">
        <v>0</v>
      </c>
      <c r="K749" s="1">
        <v>0</v>
      </c>
      <c r="L749" s="1">
        <v>0</v>
      </c>
      <c r="M749" s="6" t="s">
        <v>2784</v>
      </c>
      <c r="N749" s="1">
        <v>318</v>
      </c>
      <c r="O749" s="1">
        <v>318</v>
      </c>
      <c r="P749" t="s">
        <v>2778</v>
      </c>
      <c r="Q74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49" s="1" t="s">
        <v>2779</v>
      </c>
    </row>
    <row r="750" spans="1:18" x14ac:dyDescent="0.25">
      <c r="A750" t="s">
        <v>123</v>
      </c>
      <c r="B750" t="s">
        <v>124</v>
      </c>
      <c r="C750" s="1">
        <v>88</v>
      </c>
      <c r="I750" s="1" t="s">
        <v>16</v>
      </c>
      <c r="M750" s="6" t="s">
        <v>2784</v>
      </c>
      <c r="P750" t="s">
        <v>2778</v>
      </c>
      <c r="Q750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750" s="1" t="s">
        <v>2782</v>
      </c>
    </row>
    <row r="751" spans="1:18" x14ac:dyDescent="0.25">
      <c r="A751" t="s">
        <v>147</v>
      </c>
      <c r="B751" t="s">
        <v>148</v>
      </c>
      <c r="C751" s="1">
        <v>75</v>
      </c>
      <c r="I751" s="1" t="s">
        <v>16</v>
      </c>
      <c r="M751" s="6" t="s">
        <v>2784</v>
      </c>
      <c r="P751" t="s">
        <v>2778</v>
      </c>
      <c r="Q751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751" s="1" t="s">
        <v>2782</v>
      </c>
    </row>
    <row r="752" spans="1:18" x14ac:dyDescent="0.25">
      <c r="A752" t="s">
        <v>833</v>
      </c>
      <c r="B752" t="s">
        <v>834</v>
      </c>
      <c r="C752" s="1">
        <v>857</v>
      </c>
      <c r="E752" s="1">
        <v>1</v>
      </c>
      <c r="F752" s="1">
        <v>16</v>
      </c>
      <c r="H752" s="1">
        <v>17</v>
      </c>
      <c r="I752" s="1">
        <v>112</v>
      </c>
      <c r="J752" s="1">
        <v>114</v>
      </c>
      <c r="K752" s="1">
        <v>133</v>
      </c>
      <c r="L752" s="1">
        <v>359</v>
      </c>
      <c r="M752" s="6">
        <f>(Table2[[#This Row],[Grand Total of Lead Service Lines Replaced]]/(Table2[[#This Row],[Total to be identified or replaced]]+Table2[[#This Row],[Grand Total of Lead Service Lines Replaced]]))</f>
        <v>4.5212765957446811E-2</v>
      </c>
      <c r="N752" s="1">
        <v>457</v>
      </c>
      <c r="O752" s="1">
        <v>816</v>
      </c>
      <c r="P752" t="s">
        <v>2778</v>
      </c>
      <c r="Q75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52" s="1" t="s">
        <v>2783</v>
      </c>
    </row>
    <row r="753" spans="1:18" x14ac:dyDescent="0.25">
      <c r="A753" t="s">
        <v>387</v>
      </c>
      <c r="B753" t="s">
        <v>388</v>
      </c>
      <c r="C753" s="1">
        <v>11555</v>
      </c>
      <c r="D753" s="1">
        <v>2</v>
      </c>
      <c r="E753" s="1">
        <v>6</v>
      </c>
      <c r="F753" s="1">
        <v>7</v>
      </c>
      <c r="G753" s="1">
        <v>81</v>
      </c>
      <c r="H753" s="1">
        <v>96</v>
      </c>
      <c r="I753" s="1">
        <v>1999</v>
      </c>
      <c r="J753" s="1">
        <v>1</v>
      </c>
      <c r="K753" s="1">
        <v>13</v>
      </c>
      <c r="L753" s="1">
        <v>2013</v>
      </c>
      <c r="M753" s="6">
        <f>(Table2[[#This Row],[Grand Total of Lead Service Lines Replaced]]/(Table2[[#This Row],[Total to be identified or replaced]]+Table2[[#This Row],[Grand Total of Lead Service Lines Replaced]]))</f>
        <v>4.5519203413940258E-2</v>
      </c>
      <c r="N753" s="1">
        <v>2171</v>
      </c>
      <c r="O753" s="1">
        <v>4184</v>
      </c>
      <c r="P753" t="s">
        <v>2778</v>
      </c>
      <c r="Q75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53" s="1" t="s">
        <v>2783</v>
      </c>
    </row>
    <row r="754" spans="1:18" x14ac:dyDescent="0.25">
      <c r="A754" t="s">
        <v>1895</v>
      </c>
      <c r="B754" t="s">
        <v>1896</v>
      </c>
      <c r="C754" s="1">
        <v>90000</v>
      </c>
      <c r="I754" s="1">
        <v>0</v>
      </c>
      <c r="J754" s="1">
        <v>0</v>
      </c>
      <c r="K754" s="1">
        <v>0</v>
      </c>
      <c r="L754" s="1">
        <v>0</v>
      </c>
      <c r="M754" s="6" t="s">
        <v>2784</v>
      </c>
      <c r="N754" s="1">
        <v>31034</v>
      </c>
      <c r="O754" s="1">
        <v>31034</v>
      </c>
      <c r="P754" t="s">
        <v>2778</v>
      </c>
      <c r="Q75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54" s="1" t="s">
        <v>2779</v>
      </c>
    </row>
    <row r="755" spans="1:18" x14ac:dyDescent="0.25">
      <c r="A755" t="s">
        <v>1023</v>
      </c>
      <c r="B755" t="s">
        <v>1024</v>
      </c>
      <c r="C755" s="1">
        <v>190</v>
      </c>
      <c r="I755" s="1">
        <v>0</v>
      </c>
      <c r="J755" s="1">
        <v>0</v>
      </c>
      <c r="K755" s="1">
        <v>0</v>
      </c>
      <c r="L755" s="1">
        <v>0</v>
      </c>
      <c r="M755" s="6" t="s">
        <v>2784</v>
      </c>
      <c r="N755" s="1">
        <v>78</v>
      </c>
      <c r="O755" s="1">
        <v>78</v>
      </c>
      <c r="P755">
        <v>2024</v>
      </c>
      <c r="Q75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55" s="1" t="s">
        <v>2779</v>
      </c>
    </row>
    <row r="756" spans="1:18" x14ac:dyDescent="0.25">
      <c r="A756" t="s">
        <v>1899</v>
      </c>
      <c r="B756" t="s">
        <v>1900</v>
      </c>
      <c r="C756" s="1">
        <v>3480</v>
      </c>
      <c r="I756" s="1">
        <v>0</v>
      </c>
      <c r="J756" s="1">
        <v>0</v>
      </c>
      <c r="K756" s="1">
        <v>0</v>
      </c>
      <c r="L756" s="1">
        <v>0</v>
      </c>
      <c r="M756" s="6" t="s">
        <v>2784</v>
      </c>
      <c r="N756" s="1">
        <v>1258</v>
      </c>
      <c r="O756" s="1">
        <v>1258</v>
      </c>
      <c r="P756" t="s">
        <v>2778</v>
      </c>
      <c r="Q75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56" s="1" t="s">
        <v>2779</v>
      </c>
    </row>
    <row r="757" spans="1:18" x14ac:dyDescent="0.25">
      <c r="A757" t="s">
        <v>1494</v>
      </c>
      <c r="B757" t="s">
        <v>1495</v>
      </c>
      <c r="C757" s="1">
        <v>48</v>
      </c>
      <c r="I757" s="1">
        <v>0</v>
      </c>
      <c r="J757" s="1">
        <v>0</v>
      </c>
      <c r="K757" s="1">
        <v>0</v>
      </c>
      <c r="L757" s="1">
        <v>0</v>
      </c>
      <c r="M757" s="6" t="s">
        <v>2784</v>
      </c>
      <c r="N757" s="1">
        <v>5</v>
      </c>
      <c r="O757" s="1">
        <v>5</v>
      </c>
      <c r="P757" t="s">
        <v>2778</v>
      </c>
      <c r="Q75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57" s="1" t="s">
        <v>2779</v>
      </c>
    </row>
    <row r="758" spans="1:18" x14ac:dyDescent="0.25">
      <c r="A758" t="s">
        <v>171</v>
      </c>
      <c r="B758" t="s">
        <v>172</v>
      </c>
      <c r="C758" s="1">
        <v>58</v>
      </c>
      <c r="I758" s="1" t="s">
        <v>16</v>
      </c>
      <c r="M758" s="6" t="s">
        <v>2784</v>
      </c>
      <c r="P758" t="s">
        <v>2778</v>
      </c>
      <c r="Q758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758" s="1" t="s">
        <v>2782</v>
      </c>
    </row>
    <row r="759" spans="1:18" x14ac:dyDescent="0.25">
      <c r="A759" t="s">
        <v>245</v>
      </c>
      <c r="B759" t="s">
        <v>246</v>
      </c>
      <c r="C759" s="1">
        <v>14970</v>
      </c>
      <c r="D759" s="1">
        <v>35</v>
      </c>
      <c r="E759" s="1">
        <v>111</v>
      </c>
      <c r="F759" s="1">
        <v>77</v>
      </c>
      <c r="G759" s="1">
        <v>54</v>
      </c>
      <c r="H759" s="1">
        <v>277</v>
      </c>
      <c r="I759" s="1">
        <v>97</v>
      </c>
      <c r="J759" s="1">
        <v>2</v>
      </c>
      <c r="K759" s="1">
        <v>5684</v>
      </c>
      <c r="L759" s="1">
        <v>5783</v>
      </c>
      <c r="M759" s="6">
        <f>(Table2[[#This Row],[Grand Total of Lead Service Lines Replaced]]/(Table2[[#This Row],[Total to be identified or replaced]]+Table2[[#This Row],[Grand Total of Lead Service Lines Replaced]]))</f>
        <v>4.5709570957095706E-2</v>
      </c>
      <c r="N759" s="1">
        <v>1125</v>
      </c>
      <c r="O759" s="1">
        <v>6908</v>
      </c>
      <c r="P759" t="s">
        <v>2778</v>
      </c>
      <c r="Q75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59" s="1" t="s">
        <v>2783</v>
      </c>
    </row>
    <row r="760" spans="1:18" x14ac:dyDescent="0.25">
      <c r="A760" t="s">
        <v>807</v>
      </c>
      <c r="B760" t="s">
        <v>808</v>
      </c>
      <c r="C760" s="1">
        <v>1610</v>
      </c>
      <c r="D760" s="1">
        <v>2</v>
      </c>
      <c r="E760" s="1">
        <v>3</v>
      </c>
      <c r="F760" s="1">
        <v>9</v>
      </c>
      <c r="G760" s="1">
        <v>6</v>
      </c>
      <c r="H760" s="1">
        <v>20</v>
      </c>
      <c r="I760" s="1">
        <v>400</v>
      </c>
      <c r="J760" s="1">
        <v>0</v>
      </c>
      <c r="K760" s="1">
        <v>0</v>
      </c>
      <c r="L760" s="1">
        <v>400</v>
      </c>
      <c r="M760" s="6">
        <f>(Table2[[#This Row],[Grand Total of Lead Service Lines Replaced]]/(Table2[[#This Row],[Total to be identified or replaced]]+Table2[[#This Row],[Grand Total of Lead Service Lines Replaced]]))</f>
        <v>4.7619047619047616E-2</v>
      </c>
      <c r="N760" s="1">
        <v>210</v>
      </c>
      <c r="O760" s="1">
        <v>610</v>
      </c>
      <c r="P760" t="s">
        <v>2778</v>
      </c>
      <c r="Q76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60" s="1" t="s">
        <v>2783</v>
      </c>
    </row>
    <row r="761" spans="1:18" x14ac:dyDescent="0.25">
      <c r="A761" t="s">
        <v>1907</v>
      </c>
      <c r="B761" t="s">
        <v>1908</v>
      </c>
      <c r="C761" s="1">
        <v>40</v>
      </c>
      <c r="I761" s="1">
        <v>0</v>
      </c>
      <c r="J761" s="1">
        <v>0</v>
      </c>
      <c r="K761" s="1">
        <v>0</v>
      </c>
      <c r="L761" s="1">
        <v>0</v>
      </c>
      <c r="M761" s="6" t="s">
        <v>2784</v>
      </c>
      <c r="N761" s="1">
        <v>23</v>
      </c>
      <c r="O761" s="1">
        <v>23</v>
      </c>
      <c r="P761" t="s">
        <v>2778</v>
      </c>
      <c r="Q76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61" s="1" t="s">
        <v>2779</v>
      </c>
    </row>
    <row r="762" spans="1:18" x14ac:dyDescent="0.25">
      <c r="A762" t="s">
        <v>1108</v>
      </c>
      <c r="B762" t="s">
        <v>1109</v>
      </c>
      <c r="C762" s="1">
        <v>5400</v>
      </c>
      <c r="D762" s="1">
        <v>1</v>
      </c>
      <c r="E762" s="1">
        <v>2</v>
      </c>
      <c r="G762" s="1">
        <v>6</v>
      </c>
      <c r="H762" s="1">
        <v>9</v>
      </c>
      <c r="I762" s="1">
        <v>5</v>
      </c>
      <c r="J762" s="1">
        <v>170</v>
      </c>
      <c r="L762" s="1">
        <v>175</v>
      </c>
      <c r="M762" s="6">
        <f>(Table2[[#This Row],[Grand Total of Lead Service Lines Replaced]]/(Table2[[#This Row],[Total to be identified or replaced]]+Table2[[#This Row],[Grand Total of Lead Service Lines Replaced]]))</f>
        <v>4.8913043478260872E-2</v>
      </c>
      <c r="N762" s="1">
        <v>1726</v>
      </c>
      <c r="O762" s="1">
        <v>1901</v>
      </c>
      <c r="P762" t="s">
        <v>2778</v>
      </c>
      <c r="Q76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62" s="1" t="s">
        <v>2783</v>
      </c>
    </row>
    <row r="763" spans="1:18" x14ac:dyDescent="0.25">
      <c r="A763" t="s">
        <v>1909</v>
      </c>
      <c r="B763" t="s">
        <v>1910</v>
      </c>
      <c r="C763" s="1">
        <v>174</v>
      </c>
      <c r="I763" s="1">
        <v>0</v>
      </c>
      <c r="J763" s="1">
        <v>0</v>
      </c>
      <c r="K763" s="1">
        <v>0</v>
      </c>
      <c r="L763" s="1">
        <v>0</v>
      </c>
      <c r="M763" s="6" t="s">
        <v>2784</v>
      </c>
      <c r="N763" s="1">
        <v>75</v>
      </c>
      <c r="O763" s="1">
        <v>75</v>
      </c>
      <c r="P763" t="s">
        <v>2778</v>
      </c>
      <c r="Q7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63" s="1" t="s">
        <v>2779</v>
      </c>
    </row>
    <row r="764" spans="1:18" x14ac:dyDescent="0.25">
      <c r="A764" t="s">
        <v>1676</v>
      </c>
      <c r="B764" t="s">
        <v>1677</v>
      </c>
      <c r="C764" s="1">
        <v>65</v>
      </c>
      <c r="I764" s="1">
        <v>0</v>
      </c>
      <c r="J764" s="1">
        <v>0</v>
      </c>
      <c r="K764" s="1">
        <v>0</v>
      </c>
      <c r="L764" s="1">
        <v>0</v>
      </c>
      <c r="M764" s="6" t="s">
        <v>2784</v>
      </c>
      <c r="N764" s="1">
        <v>3</v>
      </c>
      <c r="O764" s="1">
        <v>3</v>
      </c>
      <c r="P764">
        <v>2024</v>
      </c>
      <c r="Q76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64" s="1" t="s">
        <v>2779</v>
      </c>
    </row>
    <row r="765" spans="1:18" x14ac:dyDescent="0.25">
      <c r="A765" t="s">
        <v>781</v>
      </c>
      <c r="B765" t="s">
        <v>782</v>
      </c>
      <c r="C765" s="1">
        <v>952</v>
      </c>
      <c r="D765" s="1">
        <v>2</v>
      </c>
      <c r="E765" s="1">
        <v>5</v>
      </c>
      <c r="F765" s="1">
        <v>2</v>
      </c>
      <c r="G765" s="1">
        <v>2</v>
      </c>
      <c r="H765" s="1">
        <v>11</v>
      </c>
      <c r="I765" s="1">
        <v>16</v>
      </c>
      <c r="J765" s="1">
        <v>65</v>
      </c>
      <c r="K765" s="1">
        <v>131</v>
      </c>
      <c r="L765" s="1">
        <v>212</v>
      </c>
      <c r="M765" s="6">
        <f>(Table2[[#This Row],[Grand Total of Lead Service Lines Replaced]]/(Table2[[#This Row],[Total to be identified or replaced]]+Table2[[#This Row],[Grand Total of Lead Service Lines Replaced]]))</f>
        <v>4.9327354260089683E-2</v>
      </c>
      <c r="N765" s="1">
        <v>383</v>
      </c>
      <c r="O765" s="1">
        <v>595</v>
      </c>
      <c r="P765" t="s">
        <v>2778</v>
      </c>
      <c r="Q76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65" s="1" t="s">
        <v>2783</v>
      </c>
    </row>
    <row r="766" spans="1:18" x14ac:dyDescent="0.25">
      <c r="A766" t="s">
        <v>1911</v>
      </c>
      <c r="B766" t="s">
        <v>1912</v>
      </c>
      <c r="C766" s="1">
        <v>75</v>
      </c>
      <c r="I766" s="1">
        <v>0</v>
      </c>
      <c r="J766" s="1">
        <v>0</v>
      </c>
      <c r="K766" s="1">
        <v>0</v>
      </c>
      <c r="L766" s="1">
        <v>0</v>
      </c>
      <c r="M766" s="6" t="s">
        <v>2784</v>
      </c>
      <c r="N766" s="1">
        <v>2</v>
      </c>
      <c r="O766" s="1">
        <v>2</v>
      </c>
      <c r="P766" t="s">
        <v>2778</v>
      </c>
      <c r="Q76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66" s="1" t="s">
        <v>2779</v>
      </c>
    </row>
    <row r="767" spans="1:18" x14ac:dyDescent="0.25">
      <c r="A767" t="s">
        <v>1650</v>
      </c>
      <c r="B767" t="s">
        <v>1651</v>
      </c>
      <c r="C767" s="1">
        <v>700</v>
      </c>
      <c r="G767" s="1">
        <v>4</v>
      </c>
      <c r="H767" s="1">
        <v>4</v>
      </c>
      <c r="I767" s="1">
        <v>0</v>
      </c>
      <c r="J767" s="1">
        <v>5</v>
      </c>
      <c r="K767" s="1">
        <v>69</v>
      </c>
      <c r="L767" s="1">
        <v>74</v>
      </c>
      <c r="M767" s="6">
        <f>(Table2[[#This Row],[Grand Total of Lead Service Lines Replaced]]/(Table2[[#This Row],[Total to be identified or replaced]]+Table2[[#This Row],[Grand Total of Lead Service Lines Replaced]]))</f>
        <v>5.128205128205128E-2</v>
      </c>
      <c r="N767" s="1">
        <v>250</v>
      </c>
      <c r="O767" s="1">
        <v>324</v>
      </c>
      <c r="P767" t="s">
        <v>2778</v>
      </c>
      <c r="Q76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67" s="1" t="s">
        <v>2783</v>
      </c>
    </row>
    <row r="768" spans="1:18" x14ac:dyDescent="0.25">
      <c r="A768" t="s">
        <v>1913</v>
      </c>
      <c r="B768" t="s">
        <v>1914</v>
      </c>
      <c r="C768" s="1">
        <v>28</v>
      </c>
      <c r="I768" s="1">
        <v>0</v>
      </c>
      <c r="J768" s="1">
        <v>0</v>
      </c>
      <c r="K768" s="1">
        <v>0</v>
      </c>
      <c r="L768" s="1">
        <v>0</v>
      </c>
      <c r="M768" s="6" t="s">
        <v>2784</v>
      </c>
      <c r="N768" s="1">
        <v>24</v>
      </c>
      <c r="O768" s="1">
        <v>24</v>
      </c>
      <c r="P768" t="s">
        <v>2778</v>
      </c>
      <c r="Q76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68" s="1" t="s">
        <v>2779</v>
      </c>
    </row>
    <row r="769" spans="1:18" x14ac:dyDescent="0.25">
      <c r="A769" t="s">
        <v>1915</v>
      </c>
      <c r="B769" t="s">
        <v>1916</v>
      </c>
      <c r="C769" s="1">
        <v>115</v>
      </c>
      <c r="L769" s="1">
        <v>0</v>
      </c>
      <c r="M769" s="6" t="s">
        <v>2784</v>
      </c>
      <c r="N769" s="1">
        <v>46</v>
      </c>
      <c r="O769" s="1">
        <v>46</v>
      </c>
      <c r="P769" t="s">
        <v>2778</v>
      </c>
      <c r="Q76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69" s="1" t="s">
        <v>2779</v>
      </c>
    </row>
    <row r="770" spans="1:18" x14ac:dyDescent="0.25">
      <c r="A770" t="s">
        <v>1919</v>
      </c>
      <c r="B770" t="s">
        <v>1920</v>
      </c>
      <c r="C770" s="1">
        <v>320</v>
      </c>
      <c r="I770" s="1">
        <v>0</v>
      </c>
      <c r="J770" s="1">
        <v>0</v>
      </c>
      <c r="K770" s="1">
        <v>0</v>
      </c>
      <c r="L770" s="1">
        <v>0</v>
      </c>
      <c r="M770" s="6" t="s">
        <v>2784</v>
      </c>
      <c r="N770" s="1">
        <v>90</v>
      </c>
      <c r="O770" s="1">
        <v>90</v>
      </c>
      <c r="P770" t="s">
        <v>2778</v>
      </c>
      <c r="Q77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70" s="1" t="s">
        <v>2779</v>
      </c>
    </row>
    <row r="771" spans="1:18" x14ac:dyDescent="0.25">
      <c r="A771" t="s">
        <v>1921</v>
      </c>
      <c r="B771" t="s">
        <v>1922</v>
      </c>
      <c r="C771" s="1">
        <v>125</v>
      </c>
      <c r="L771" s="1">
        <v>0</v>
      </c>
      <c r="M771" s="6" t="s">
        <v>2784</v>
      </c>
      <c r="N771" s="1">
        <v>50</v>
      </c>
      <c r="O771" s="1">
        <v>50</v>
      </c>
      <c r="P771">
        <v>2018</v>
      </c>
      <c r="Q77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71" s="1" t="s">
        <v>2779</v>
      </c>
    </row>
    <row r="772" spans="1:18" x14ac:dyDescent="0.25">
      <c r="A772" t="s">
        <v>1090</v>
      </c>
      <c r="B772" t="s">
        <v>1091</v>
      </c>
      <c r="C772" s="1">
        <v>50</v>
      </c>
      <c r="I772" s="1">
        <v>0</v>
      </c>
      <c r="J772" s="1">
        <v>0</v>
      </c>
      <c r="K772" s="1">
        <v>0</v>
      </c>
      <c r="L772" s="1">
        <v>0</v>
      </c>
      <c r="M772" s="6" t="s">
        <v>2784</v>
      </c>
      <c r="N772" s="1">
        <v>21</v>
      </c>
      <c r="O772" s="1">
        <v>21</v>
      </c>
      <c r="P772" t="s">
        <v>2778</v>
      </c>
      <c r="Q77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72" s="1" t="s">
        <v>2779</v>
      </c>
    </row>
    <row r="773" spans="1:18" x14ac:dyDescent="0.25">
      <c r="A773" t="s">
        <v>799</v>
      </c>
      <c r="B773" t="s">
        <v>800</v>
      </c>
      <c r="C773" s="1">
        <v>2783</v>
      </c>
      <c r="D773" s="1">
        <v>10</v>
      </c>
      <c r="F773" s="1">
        <v>4</v>
      </c>
      <c r="G773" s="1">
        <v>8</v>
      </c>
      <c r="H773" s="1">
        <v>22</v>
      </c>
      <c r="I773" s="1">
        <v>0</v>
      </c>
      <c r="J773" s="1">
        <v>84</v>
      </c>
      <c r="K773" s="1">
        <v>322</v>
      </c>
      <c r="L773" s="1">
        <v>406</v>
      </c>
      <c r="M773" s="6">
        <f>(Table2[[#This Row],[Grand Total of Lead Service Lines Replaced]]/(Table2[[#This Row],[Total to be identified or replaced]]+Table2[[#This Row],[Grand Total of Lead Service Lines Replaced]]))</f>
        <v>5.1401869158878503E-2</v>
      </c>
      <c r="N773" s="1">
        <v>677</v>
      </c>
      <c r="O773" s="1">
        <v>1083</v>
      </c>
      <c r="P773" t="s">
        <v>2778</v>
      </c>
      <c r="Q77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73" s="1" t="s">
        <v>2783</v>
      </c>
    </row>
    <row r="774" spans="1:18" x14ac:dyDescent="0.25">
      <c r="A774" t="s">
        <v>1923</v>
      </c>
      <c r="B774" t="s">
        <v>1924</v>
      </c>
      <c r="C774" s="1">
        <v>250</v>
      </c>
      <c r="I774" s="1">
        <v>0</v>
      </c>
      <c r="J774" s="1">
        <v>0</v>
      </c>
      <c r="K774" s="1">
        <v>0</v>
      </c>
      <c r="L774" s="1">
        <v>0</v>
      </c>
      <c r="M774" s="6" t="s">
        <v>2784</v>
      </c>
      <c r="N774" s="1">
        <v>110</v>
      </c>
      <c r="O774" s="1">
        <v>110</v>
      </c>
      <c r="P774" t="s">
        <v>2778</v>
      </c>
      <c r="Q77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74" s="1" t="s">
        <v>2779</v>
      </c>
    </row>
    <row r="775" spans="1:18" x14ac:dyDescent="0.25">
      <c r="A775" t="s">
        <v>1925</v>
      </c>
      <c r="B775" t="s">
        <v>1926</v>
      </c>
      <c r="C775" s="1">
        <v>25</v>
      </c>
      <c r="I775" s="1">
        <v>0</v>
      </c>
      <c r="J775" s="1">
        <v>0</v>
      </c>
      <c r="K775" s="1">
        <v>0</v>
      </c>
      <c r="L775" s="1">
        <v>0</v>
      </c>
      <c r="M775" s="6" t="s">
        <v>2784</v>
      </c>
      <c r="N775" s="1">
        <v>1</v>
      </c>
      <c r="O775" s="1">
        <v>1</v>
      </c>
      <c r="P775" t="s">
        <v>2778</v>
      </c>
      <c r="Q77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75" s="1" t="s">
        <v>2779</v>
      </c>
    </row>
    <row r="776" spans="1:18" x14ac:dyDescent="0.25">
      <c r="A776" t="s">
        <v>1927</v>
      </c>
      <c r="B776" t="s">
        <v>1928</v>
      </c>
      <c r="C776" s="1">
        <v>93</v>
      </c>
      <c r="I776" s="1">
        <v>0</v>
      </c>
      <c r="J776" s="1">
        <v>0</v>
      </c>
      <c r="K776" s="1">
        <v>0</v>
      </c>
      <c r="L776" s="1">
        <v>0</v>
      </c>
      <c r="M776" s="6" t="s">
        <v>2784</v>
      </c>
      <c r="N776" s="1">
        <v>37</v>
      </c>
      <c r="O776" s="1">
        <v>37</v>
      </c>
      <c r="P776" t="s">
        <v>2778</v>
      </c>
      <c r="Q77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76" s="1" t="s">
        <v>2779</v>
      </c>
    </row>
    <row r="777" spans="1:18" x14ac:dyDescent="0.25">
      <c r="A777" t="s">
        <v>1929</v>
      </c>
      <c r="B777" t="s">
        <v>1930</v>
      </c>
      <c r="C777" s="1">
        <v>220</v>
      </c>
      <c r="I777" s="1">
        <v>0</v>
      </c>
      <c r="J777" s="1">
        <v>0</v>
      </c>
      <c r="K777" s="1">
        <v>0</v>
      </c>
      <c r="L777" s="1">
        <v>0</v>
      </c>
      <c r="M777" s="6" t="s">
        <v>2784</v>
      </c>
      <c r="N777" s="1">
        <v>99</v>
      </c>
      <c r="O777" s="1">
        <v>99</v>
      </c>
      <c r="P777" t="s">
        <v>2778</v>
      </c>
      <c r="Q77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77" s="1" t="s">
        <v>2779</v>
      </c>
    </row>
    <row r="778" spans="1:18" x14ac:dyDescent="0.25">
      <c r="A778" t="s">
        <v>1931</v>
      </c>
      <c r="B778" t="s">
        <v>1932</v>
      </c>
      <c r="C778" s="1">
        <v>45</v>
      </c>
      <c r="I778" s="1">
        <v>0</v>
      </c>
      <c r="J778" s="1">
        <v>0</v>
      </c>
      <c r="K778" s="1">
        <v>0</v>
      </c>
      <c r="L778" s="1">
        <v>0</v>
      </c>
      <c r="M778" s="6" t="s">
        <v>2784</v>
      </c>
      <c r="N778" s="1">
        <v>3</v>
      </c>
      <c r="O778" s="1">
        <v>3</v>
      </c>
      <c r="P778" t="s">
        <v>2778</v>
      </c>
      <c r="Q77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78" s="1" t="s">
        <v>2779</v>
      </c>
    </row>
    <row r="779" spans="1:18" x14ac:dyDescent="0.25">
      <c r="A779" t="s">
        <v>1933</v>
      </c>
      <c r="B779" t="s">
        <v>1934</v>
      </c>
      <c r="C779" s="1">
        <v>60</v>
      </c>
      <c r="I779" s="1">
        <v>0</v>
      </c>
      <c r="J779" s="1">
        <v>0</v>
      </c>
      <c r="K779" s="1">
        <v>0</v>
      </c>
      <c r="L779" s="1">
        <v>0</v>
      </c>
      <c r="M779" s="6" t="s">
        <v>2784</v>
      </c>
      <c r="N779" s="1">
        <v>5</v>
      </c>
      <c r="O779" s="1">
        <v>5</v>
      </c>
      <c r="P779" t="s">
        <v>2778</v>
      </c>
      <c r="Q7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79" s="1" t="s">
        <v>2779</v>
      </c>
    </row>
    <row r="780" spans="1:18" x14ac:dyDescent="0.25">
      <c r="A780" t="s">
        <v>1937</v>
      </c>
      <c r="B780" t="s">
        <v>1938</v>
      </c>
      <c r="C780" s="1">
        <v>80</v>
      </c>
      <c r="I780" s="1">
        <v>0</v>
      </c>
      <c r="J780" s="1">
        <v>0</v>
      </c>
      <c r="K780" s="1">
        <v>0</v>
      </c>
      <c r="L780" s="1">
        <v>0</v>
      </c>
      <c r="M780" s="6" t="s">
        <v>2784</v>
      </c>
      <c r="N780" s="1">
        <v>8</v>
      </c>
      <c r="O780" s="1">
        <v>8</v>
      </c>
      <c r="P780" t="s">
        <v>2778</v>
      </c>
      <c r="Q78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80" s="1" t="s">
        <v>2779</v>
      </c>
    </row>
    <row r="781" spans="1:18" x14ac:dyDescent="0.25">
      <c r="A781" t="s">
        <v>1939</v>
      </c>
      <c r="B781" t="s">
        <v>1940</v>
      </c>
      <c r="C781" s="1">
        <v>72</v>
      </c>
      <c r="I781" s="1">
        <v>0</v>
      </c>
      <c r="J781" s="1">
        <v>0</v>
      </c>
      <c r="K781" s="1">
        <v>0</v>
      </c>
      <c r="L781" s="1">
        <v>0</v>
      </c>
      <c r="M781" s="6" t="s">
        <v>2784</v>
      </c>
      <c r="N781" s="1">
        <v>2</v>
      </c>
      <c r="O781" s="1">
        <v>2</v>
      </c>
      <c r="P781" t="s">
        <v>2778</v>
      </c>
      <c r="Q7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81" s="1" t="s">
        <v>2779</v>
      </c>
    </row>
    <row r="782" spans="1:18" x14ac:dyDescent="0.25">
      <c r="A782" t="s">
        <v>931</v>
      </c>
      <c r="B782" t="s">
        <v>932</v>
      </c>
      <c r="C782" s="1">
        <v>1198</v>
      </c>
      <c r="F782" s="1">
        <v>126</v>
      </c>
      <c r="G782" s="1">
        <v>223</v>
      </c>
      <c r="H782" s="1">
        <v>349</v>
      </c>
      <c r="I782" s="1">
        <v>0</v>
      </c>
      <c r="J782" s="1">
        <v>0</v>
      </c>
      <c r="K782" s="1">
        <v>0</v>
      </c>
      <c r="L782" s="1">
        <v>0</v>
      </c>
      <c r="M782" s="6">
        <f>(Table2[[#This Row],[Grand Total of Lead Service Lines Replaced]]/(Table2[[#This Row],[Total to be identified or replaced]]+Table2[[#This Row],[Grand Total of Lead Service Lines Replaced]]))</f>
        <v>1</v>
      </c>
      <c r="N782" s="1">
        <v>479</v>
      </c>
      <c r="O782" s="1">
        <v>479</v>
      </c>
      <c r="P782" t="s">
        <v>2778</v>
      </c>
      <c r="Q782" t="s">
        <v>2785</v>
      </c>
      <c r="R782" s="7" t="s">
        <v>2786</v>
      </c>
    </row>
    <row r="783" spans="1:18" x14ac:dyDescent="0.25">
      <c r="A783" t="s">
        <v>1941</v>
      </c>
      <c r="B783" t="s">
        <v>1942</v>
      </c>
      <c r="C783" s="1">
        <v>430</v>
      </c>
      <c r="I783" s="1">
        <v>0</v>
      </c>
      <c r="J783" s="1">
        <v>0</v>
      </c>
      <c r="K783" s="1">
        <v>0</v>
      </c>
      <c r="L783" s="1">
        <v>0</v>
      </c>
      <c r="M783" s="6" t="s">
        <v>2784</v>
      </c>
      <c r="N783" s="1">
        <v>182</v>
      </c>
      <c r="O783" s="1">
        <v>182</v>
      </c>
      <c r="P783" t="s">
        <v>2778</v>
      </c>
      <c r="Q78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83" s="1" t="s">
        <v>2779</v>
      </c>
    </row>
    <row r="784" spans="1:18" x14ac:dyDescent="0.25">
      <c r="A784" t="s">
        <v>1268</v>
      </c>
      <c r="B784" t="s">
        <v>1269</v>
      </c>
      <c r="C784" s="1">
        <v>871</v>
      </c>
      <c r="F784" s="1">
        <v>3</v>
      </c>
      <c r="G784" s="1">
        <v>4</v>
      </c>
      <c r="H784" s="1">
        <v>7</v>
      </c>
      <c r="I784" s="1">
        <v>0</v>
      </c>
      <c r="J784" s="1">
        <v>114</v>
      </c>
      <c r="L784" s="1">
        <v>114</v>
      </c>
      <c r="M784" s="6">
        <f>(Table2[[#This Row],[Grand Total of Lead Service Lines Replaced]]/(Table2[[#This Row],[Total to be identified or replaced]]+Table2[[#This Row],[Grand Total of Lead Service Lines Replaced]]))</f>
        <v>5.7851239669421489E-2</v>
      </c>
      <c r="N784" s="1">
        <v>234</v>
      </c>
      <c r="O784" s="1">
        <v>348</v>
      </c>
      <c r="P784" t="s">
        <v>2778</v>
      </c>
      <c r="Q78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84" s="1" t="s">
        <v>2783</v>
      </c>
    </row>
    <row r="785" spans="1:18" x14ac:dyDescent="0.25">
      <c r="A785" t="s">
        <v>593</v>
      </c>
      <c r="B785" t="s">
        <v>594</v>
      </c>
      <c r="C785" s="1">
        <v>6200</v>
      </c>
      <c r="D785" s="1">
        <v>3</v>
      </c>
      <c r="E785" s="1">
        <v>4</v>
      </c>
      <c r="F785" s="1">
        <v>19</v>
      </c>
      <c r="G785" s="1">
        <v>23</v>
      </c>
      <c r="H785" s="1">
        <v>49</v>
      </c>
      <c r="I785" s="1">
        <v>257</v>
      </c>
      <c r="J785" s="1">
        <v>541</v>
      </c>
      <c r="K785" s="1">
        <v>0</v>
      </c>
      <c r="L785" s="1">
        <v>798</v>
      </c>
      <c r="M785" s="6">
        <f>(Table2[[#This Row],[Grand Total of Lead Service Lines Replaced]]/(Table2[[#This Row],[Total to be identified or replaced]]+Table2[[#This Row],[Grand Total of Lead Service Lines Replaced]]))</f>
        <v>5.7851239669421489E-2</v>
      </c>
      <c r="N785" s="1">
        <v>2412</v>
      </c>
      <c r="O785" s="1">
        <v>3210</v>
      </c>
      <c r="P785">
        <v>2021</v>
      </c>
      <c r="Q78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85" s="1" t="s">
        <v>2783</v>
      </c>
    </row>
    <row r="786" spans="1:18" x14ac:dyDescent="0.25">
      <c r="A786" t="s">
        <v>829</v>
      </c>
      <c r="B786" t="s">
        <v>830</v>
      </c>
      <c r="C786" s="1">
        <v>5474</v>
      </c>
      <c r="D786" s="1">
        <v>1</v>
      </c>
      <c r="H786" s="1">
        <v>1</v>
      </c>
      <c r="I786" s="1">
        <v>0</v>
      </c>
      <c r="J786" s="1">
        <v>0</v>
      </c>
      <c r="K786" s="1">
        <v>16</v>
      </c>
      <c r="L786" s="1">
        <v>16</v>
      </c>
      <c r="M786" s="6">
        <f>(Table2[[#This Row],[Grand Total of Lead Service Lines Replaced]]/(Table2[[#This Row],[Total to be identified or replaced]]+Table2[[#This Row],[Grand Total of Lead Service Lines Replaced]]))</f>
        <v>5.8823529411764705E-2</v>
      </c>
      <c r="N786" s="1">
        <v>2028</v>
      </c>
      <c r="O786" s="1">
        <v>2044</v>
      </c>
      <c r="P786" t="s">
        <v>2778</v>
      </c>
      <c r="Q78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86" s="1" t="s">
        <v>2783</v>
      </c>
    </row>
    <row r="787" spans="1:18" x14ac:dyDescent="0.25">
      <c r="A787" t="s">
        <v>139</v>
      </c>
      <c r="B787" t="s">
        <v>140</v>
      </c>
      <c r="C787" s="1">
        <v>75</v>
      </c>
      <c r="I787" s="1" t="s">
        <v>16</v>
      </c>
      <c r="M787" s="6" t="s">
        <v>2784</v>
      </c>
      <c r="P787" t="s">
        <v>2778</v>
      </c>
      <c r="Q787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787" s="1" t="s">
        <v>2782</v>
      </c>
    </row>
    <row r="788" spans="1:18" x14ac:dyDescent="0.25">
      <c r="A788" t="s">
        <v>1712</v>
      </c>
      <c r="B788" t="s">
        <v>1713</v>
      </c>
      <c r="C788" s="1">
        <v>120</v>
      </c>
      <c r="I788" s="1">
        <v>0</v>
      </c>
      <c r="J788" s="1">
        <v>0</v>
      </c>
      <c r="K788" s="1">
        <v>0</v>
      </c>
      <c r="L788" s="1">
        <v>0</v>
      </c>
      <c r="M788" s="6" t="s">
        <v>2784</v>
      </c>
      <c r="N788" s="1">
        <v>2</v>
      </c>
      <c r="O788" s="1">
        <v>2</v>
      </c>
      <c r="P788">
        <v>2024</v>
      </c>
      <c r="Q78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88" s="1" t="s">
        <v>2779</v>
      </c>
    </row>
    <row r="789" spans="1:18" x14ac:dyDescent="0.25">
      <c r="A789" t="s">
        <v>1947</v>
      </c>
      <c r="B789" t="s">
        <v>1948</v>
      </c>
      <c r="C789" s="1">
        <v>95</v>
      </c>
      <c r="I789" s="1">
        <v>0</v>
      </c>
      <c r="J789" s="1">
        <v>0</v>
      </c>
      <c r="K789" s="1">
        <v>0</v>
      </c>
      <c r="L789" s="1">
        <v>0</v>
      </c>
      <c r="M789" s="6" t="s">
        <v>2784</v>
      </c>
      <c r="N789" s="1">
        <v>1</v>
      </c>
      <c r="O789" s="1">
        <v>1</v>
      </c>
      <c r="P789" t="s">
        <v>2778</v>
      </c>
      <c r="Q78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89" s="1" t="s">
        <v>2779</v>
      </c>
    </row>
    <row r="790" spans="1:18" x14ac:dyDescent="0.25">
      <c r="A790" t="s">
        <v>1949</v>
      </c>
      <c r="B790" t="s">
        <v>1950</v>
      </c>
      <c r="C790" s="1">
        <v>2700</v>
      </c>
      <c r="I790" s="1">
        <v>0</v>
      </c>
      <c r="J790" s="1">
        <v>0</v>
      </c>
      <c r="L790" s="1">
        <v>0</v>
      </c>
      <c r="M790" s="6" t="s">
        <v>2784</v>
      </c>
      <c r="N790" s="1">
        <v>231</v>
      </c>
      <c r="O790" s="1">
        <v>231</v>
      </c>
      <c r="P790" t="s">
        <v>2778</v>
      </c>
      <c r="Q79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90" s="1" t="s">
        <v>2779</v>
      </c>
    </row>
    <row r="791" spans="1:18" x14ac:dyDescent="0.25">
      <c r="A791" t="s">
        <v>635</v>
      </c>
      <c r="B791" t="s">
        <v>636</v>
      </c>
      <c r="C791" s="1">
        <v>9132</v>
      </c>
      <c r="D791" s="1">
        <v>9</v>
      </c>
      <c r="E791" s="1">
        <v>1</v>
      </c>
      <c r="F791" s="1">
        <v>8</v>
      </c>
      <c r="G791" s="1">
        <v>26</v>
      </c>
      <c r="H791" s="1">
        <v>44</v>
      </c>
      <c r="I791" s="1">
        <v>173</v>
      </c>
      <c r="J791" s="1">
        <v>109</v>
      </c>
      <c r="K791" s="1">
        <v>414</v>
      </c>
      <c r="L791" s="1">
        <v>696</v>
      </c>
      <c r="M791" s="6">
        <f>(Table2[[#This Row],[Grand Total of Lead Service Lines Replaced]]/(Table2[[#This Row],[Total to be identified or replaced]]+Table2[[#This Row],[Grand Total of Lead Service Lines Replaced]]))</f>
        <v>5.9459459459459463E-2</v>
      </c>
      <c r="N791" s="1">
        <v>2920</v>
      </c>
      <c r="O791" s="1">
        <v>3616</v>
      </c>
      <c r="P791" t="s">
        <v>2778</v>
      </c>
      <c r="Q79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91" s="1" t="s">
        <v>2783</v>
      </c>
    </row>
    <row r="792" spans="1:18" x14ac:dyDescent="0.25">
      <c r="A792" t="s">
        <v>1951</v>
      </c>
      <c r="B792" t="s">
        <v>1952</v>
      </c>
      <c r="C792" s="1">
        <v>785</v>
      </c>
      <c r="I792" s="1">
        <v>0</v>
      </c>
      <c r="J792" s="1">
        <v>0</v>
      </c>
      <c r="K792" s="1">
        <v>0</v>
      </c>
      <c r="L792" s="1">
        <v>0</v>
      </c>
      <c r="M792" s="6" t="s">
        <v>2784</v>
      </c>
      <c r="N792" s="1">
        <v>191</v>
      </c>
      <c r="O792" s="1">
        <v>191</v>
      </c>
      <c r="P792" t="s">
        <v>2778</v>
      </c>
      <c r="Q79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92" s="1" t="s">
        <v>2779</v>
      </c>
    </row>
    <row r="793" spans="1:18" x14ac:dyDescent="0.25">
      <c r="A793" t="s">
        <v>747</v>
      </c>
      <c r="B793" t="s">
        <v>748</v>
      </c>
      <c r="C793" s="1">
        <v>6119</v>
      </c>
      <c r="D793" s="1">
        <v>5</v>
      </c>
      <c r="E793" s="1">
        <v>5</v>
      </c>
      <c r="F793" s="1">
        <v>17</v>
      </c>
      <c r="G793" s="1">
        <v>3</v>
      </c>
      <c r="H793" s="1">
        <v>30</v>
      </c>
      <c r="I793" s="1">
        <v>3</v>
      </c>
      <c r="J793" s="1">
        <v>193</v>
      </c>
      <c r="K793" s="1">
        <v>276</v>
      </c>
      <c r="L793" s="1">
        <v>472</v>
      </c>
      <c r="M793" s="6">
        <f>(Table2[[#This Row],[Grand Total of Lead Service Lines Replaced]]/(Table2[[#This Row],[Total to be identified or replaced]]+Table2[[#This Row],[Grand Total of Lead Service Lines Replaced]]))</f>
        <v>5.9760956175298807E-2</v>
      </c>
      <c r="N793" s="1">
        <v>2087</v>
      </c>
      <c r="O793" s="1">
        <v>2559</v>
      </c>
      <c r="P793" t="s">
        <v>2778</v>
      </c>
      <c r="Q79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93" s="1" t="s">
        <v>2783</v>
      </c>
    </row>
    <row r="794" spans="1:18" x14ac:dyDescent="0.25">
      <c r="A794" t="s">
        <v>1953</v>
      </c>
      <c r="B794" t="s">
        <v>1954</v>
      </c>
      <c r="C794" s="1">
        <v>630</v>
      </c>
      <c r="I794" s="1">
        <v>0</v>
      </c>
      <c r="J794" s="1">
        <v>0</v>
      </c>
      <c r="K794" s="1">
        <v>0</v>
      </c>
      <c r="L794" s="1">
        <v>0</v>
      </c>
      <c r="M794" s="6" t="s">
        <v>2784</v>
      </c>
      <c r="N794" s="1">
        <v>267</v>
      </c>
      <c r="O794" s="1">
        <v>267</v>
      </c>
      <c r="P794" t="s">
        <v>2778</v>
      </c>
      <c r="Q79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94" s="1" t="s">
        <v>2779</v>
      </c>
    </row>
    <row r="795" spans="1:18" x14ac:dyDescent="0.25">
      <c r="A795" t="s">
        <v>83</v>
      </c>
      <c r="B795" t="s">
        <v>84</v>
      </c>
      <c r="C795" s="1">
        <v>145</v>
      </c>
      <c r="I795" s="1" t="s">
        <v>16</v>
      </c>
      <c r="M795" s="6" t="s">
        <v>2784</v>
      </c>
      <c r="P795" t="s">
        <v>2778</v>
      </c>
      <c r="Q795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795" s="1" t="s">
        <v>2782</v>
      </c>
    </row>
    <row r="796" spans="1:18" x14ac:dyDescent="0.25">
      <c r="A796" t="s">
        <v>2101</v>
      </c>
      <c r="B796" t="s">
        <v>2102</v>
      </c>
      <c r="C796" s="1">
        <v>8521</v>
      </c>
      <c r="G796" s="1">
        <v>2</v>
      </c>
      <c r="H796" s="1">
        <v>2</v>
      </c>
      <c r="I796" s="1">
        <v>2</v>
      </c>
      <c r="J796" s="1">
        <v>0</v>
      </c>
      <c r="K796" s="1">
        <v>29</v>
      </c>
      <c r="L796" s="1">
        <v>31</v>
      </c>
      <c r="M796" s="6">
        <f>(Table2[[#This Row],[Grand Total of Lead Service Lines Replaced]]/(Table2[[#This Row],[Total to be identified or replaced]]+Table2[[#This Row],[Grand Total of Lead Service Lines Replaced]]))</f>
        <v>6.0606060606060608E-2</v>
      </c>
      <c r="N796" s="1">
        <v>3204</v>
      </c>
      <c r="O796" s="1">
        <v>3235</v>
      </c>
      <c r="P796" t="s">
        <v>2778</v>
      </c>
      <c r="Q79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796" s="1" t="s">
        <v>2783</v>
      </c>
    </row>
    <row r="797" spans="1:18" x14ac:dyDescent="0.25">
      <c r="A797" t="s">
        <v>1957</v>
      </c>
      <c r="B797" t="s">
        <v>1958</v>
      </c>
      <c r="C797" s="1">
        <v>25</v>
      </c>
      <c r="I797" s="1">
        <v>0</v>
      </c>
      <c r="J797" s="1">
        <v>0</v>
      </c>
      <c r="K797" s="1">
        <v>0</v>
      </c>
      <c r="L797" s="1">
        <v>0</v>
      </c>
      <c r="M797" s="6" t="s">
        <v>2784</v>
      </c>
      <c r="N797" s="1">
        <v>2</v>
      </c>
      <c r="O797" s="1">
        <v>2</v>
      </c>
      <c r="P797" t="s">
        <v>2778</v>
      </c>
      <c r="Q79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97" s="1" t="s">
        <v>2779</v>
      </c>
    </row>
    <row r="798" spans="1:18" x14ac:dyDescent="0.25">
      <c r="A798" t="s">
        <v>1959</v>
      </c>
      <c r="B798" t="s">
        <v>1960</v>
      </c>
      <c r="C798" s="1">
        <v>175</v>
      </c>
      <c r="I798" s="1">
        <v>0</v>
      </c>
      <c r="J798" s="1">
        <v>0</v>
      </c>
      <c r="K798" s="1">
        <v>0</v>
      </c>
      <c r="L798" s="1">
        <v>0</v>
      </c>
      <c r="M798" s="6" t="s">
        <v>2784</v>
      </c>
      <c r="N798" s="1">
        <v>70</v>
      </c>
      <c r="O798" s="1">
        <v>70</v>
      </c>
      <c r="P798" t="s">
        <v>2778</v>
      </c>
      <c r="Q79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98" s="1" t="s">
        <v>2779</v>
      </c>
    </row>
    <row r="799" spans="1:18" x14ac:dyDescent="0.25">
      <c r="A799" t="s">
        <v>1961</v>
      </c>
      <c r="B799" t="s">
        <v>1962</v>
      </c>
      <c r="C799" s="1">
        <v>2037</v>
      </c>
      <c r="I799" s="1">
        <v>0</v>
      </c>
      <c r="J799" s="1">
        <v>0</v>
      </c>
      <c r="K799" s="1">
        <v>0</v>
      </c>
      <c r="L799" s="1">
        <v>0</v>
      </c>
      <c r="M799" s="6" t="s">
        <v>2784</v>
      </c>
      <c r="N799" s="1">
        <v>710</v>
      </c>
      <c r="O799" s="1">
        <v>710</v>
      </c>
      <c r="P799" t="s">
        <v>2778</v>
      </c>
      <c r="Q7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799" s="1" t="s">
        <v>2779</v>
      </c>
    </row>
    <row r="800" spans="1:18" x14ac:dyDescent="0.25">
      <c r="A800" t="s">
        <v>489</v>
      </c>
      <c r="B800" t="s">
        <v>490</v>
      </c>
      <c r="C800" s="1">
        <v>5421</v>
      </c>
      <c r="D800" s="1">
        <v>24</v>
      </c>
      <c r="F800" s="1">
        <v>35</v>
      </c>
      <c r="G800" s="1">
        <v>26</v>
      </c>
      <c r="H800" s="1">
        <v>85</v>
      </c>
      <c r="I800" s="1">
        <v>113</v>
      </c>
      <c r="J800" s="1">
        <v>5</v>
      </c>
      <c r="K800" s="1">
        <v>1199</v>
      </c>
      <c r="L800" s="1">
        <v>1317</v>
      </c>
      <c r="M800" s="6">
        <f>(Table2[[#This Row],[Grand Total of Lead Service Lines Replaced]]/(Table2[[#This Row],[Total to be identified or replaced]]+Table2[[#This Row],[Grand Total of Lead Service Lines Replaced]]))</f>
        <v>6.062767475035663E-2</v>
      </c>
      <c r="N800" s="1">
        <v>868</v>
      </c>
      <c r="O800" s="1">
        <v>2185</v>
      </c>
      <c r="P800" t="s">
        <v>2778</v>
      </c>
      <c r="Q80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00" s="1" t="s">
        <v>2783</v>
      </c>
    </row>
    <row r="801" spans="1:18" x14ac:dyDescent="0.25">
      <c r="A801" t="s">
        <v>1965</v>
      </c>
      <c r="B801" t="s">
        <v>1966</v>
      </c>
      <c r="C801" s="1">
        <v>640</v>
      </c>
      <c r="D801" s="1">
        <v>66</v>
      </c>
      <c r="E801" s="1">
        <v>60</v>
      </c>
      <c r="H801" s="1">
        <v>126</v>
      </c>
      <c r="J801" s="1">
        <v>0</v>
      </c>
      <c r="K801" s="1">
        <v>0</v>
      </c>
      <c r="L801" s="1">
        <v>0</v>
      </c>
      <c r="M801" s="6">
        <f>(Table2[[#This Row],[Grand Total of Lead Service Lines Replaced]]/(Table2[[#This Row],[Total to be identified or replaced]]+Table2[[#This Row],[Grand Total of Lead Service Lines Replaced]]))</f>
        <v>1</v>
      </c>
      <c r="N801" s="1">
        <v>256</v>
      </c>
      <c r="O801" s="1">
        <v>256</v>
      </c>
      <c r="P801" t="s">
        <v>2778</v>
      </c>
      <c r="Q801" t="s">
        <v>2785</v>
      </c>
      <c r="R801" s="7" t="s">
        <v>2786</v>
      </c>
    </row>
    <row r="802" spans="1:18" x14ac:dyDescent="0.25">
      <c r="A802" t="s">
        <v>481</v>
      </c>
      <c r="B802" t="s">
        <v>482</v>
      </c>
      <c r="C802" s="1">
        <v>14215</v>
      </c>
      <c r="D802" s="1">
        <v>14</v>
      </c>
      <c r="E802" s="1">
        <v>17</v>
      </c>
      <c r="F802" s="1">
        <v>33</v>
      </c>
      <c r="G802" s="1">
        <v>26</v>
      </c>
      <c r="H802" s="1">
        <v>90</v>
      </c>
      <c r="I802" s="1">
        <v>414</v>
      </c>
      <c r="J802" s="1">
        <v>8</v>
      </c>
      <c r="K802" s="1">
        <v>969</v>
      </c>
      <c r="L802" s="1">
        <v>1391</v>
      </c>
      <c r="M802" s="6">
        <f>(Table2[[#This Row],[Grand Total of Lead Service Lines Replaced]]/(Table2[[#This Row],[Total to be identified or replaced]]+Table2[[#This Row],[Grand Total of Lead Service Lines Replaced]]))</f>
        <v>6.0769750168804863E-2</v>
      </c>
      <c r="N802" s="1">
        <v>4254</v>
      </c>
      <c r="O802" s="1">
        <v>5645</v>
      </c>
      <c r="P802" t="s">
        <v>2778</v>
      </c>
      <c r="Q80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02" s="1" t="s">
        <v>2783</v>
      </c>
    </row>
    <row r="803" spans="1:18" x14ac:dyDescent="0.25">
      <c r="A803" t="s">
        <v>1969</v>
      </c>
      <c r="B803" t="s">
        <v>1970</v>
      </c>
      <c r="C803" s="1">
        <v>460</v>
      </c>
      <c r="I803" s="1">
        <v>0</v>
      </c>
      <c r="J803" s="1">
        <v>0</v>
      </c>
      <c r="K803" s="1">
        <v>0</v>
      </c>
      <c r="L803" s="1">
        <v>0</v>
      </c>
      <c r="M803" s="6" t="s">
        <v>2784</v>
      </c>
      <c r="N803" s="1">
        <v>1</v>
      </c>
      <c r="O803" s="1">
        <v>1</v>
      </c>
      <c r="P803" t="s">
        <v>2778</v>
      </c>
      <c r="Q80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03" s="1" t="s">
        <v>2779</v>
      </c>
    </row>
    <row r="804" spans="1:18" x14ac:dyDescent="0.25">
      <c r="A804" t="s">
        <v>1971</v>
      </c>
      <c r="B804" t="s">
        <v>1972</v>
      </c>
      <c r="C804" s="1">
        <v>40</v>
      </c>
      <c r="I804" s="1">
        <v>0</v>
      </c>
      <c r="J804" s="1">
        <v>0</v>
      </c>
      <c r="K804" s="1">
        <v>0</v>
      </c>
      <c r="L804" s="1">
        <v>0</v>
      </c>
      <c r="M804" s="6" t="s">
        <v>2784</v>
      </c>
      <c r="N804" s="1">
        <v>2</v>
      </c>
      <c r="O804" s="1">
        <v>2</v>
      </c>
      <c r="P804" t="s">
        <v>2778</v>
      </c>
      <c r="Q80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04" s="1" t="s">
        <v>2779</v>
      </c>
    </row>
    <row r="805" spans="1:18" x14ac:dyDescent="0.25">
      <c r="A805" t="s">
        <v>1973</v>
      </c>
      <c r="B805" t="s">
        <v>1974</v>
      </c>
      <c r="C805" s="1">
        <v>1060</v>
      </c>
      <c r="I805" s="1">
        <v>0</v>
      </c>
      <c r="J805" s="1">
        <v>0</v>
      </c>
      <c r="K805" s="1">
        <v>0</v>
      </c>
      <c r="L805" s="1">
        <v>0</v>
      </c>
      <c r="M805" s="6" t="s">
        <v>2784</v>
      </c>
      <c r="N805" s="1">
        <v>416</v>
      </c>
      <c r="O805" s="1">
        <v>416</v>
      </c>
      <c r="P805" t="s">
        <v>2778</v>
      </c>
      <c r="Q80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05" s="1" t="s">
        <v>2779</v>
      </c>
    </row>
    <row r="806" spans="1:18" x14ac:dyDescent="0.25">
      <c r="A806" t="s">
        <v>1975</v>
      </c>
      <c r="B806" t="s">
        <v>1976</v>
      </c>
      <c r="C806" s="1">
        <v>293</v>
      </c>
      <c r="I806" s="1">
        <v>0</v>
      </c>
      <c r="J806" s="1">
        <v>0</v>
      </c>
      <c r="K806" s="1">
        <v>0</v>
      </c>
      <c r="L806" s="1">
        <v>0</v>
      </c>
      <c r="M806" s="6" t="s">
        <v>2784</v>
      </c>
      <c r="N806" s="1">
        <v>161</v>
      </c>
      <c r="O806" s="1">
        <v>161</v>
      </c>
      <c r="P806" t="s">
        <v>2778</v>
      </c>
      <c r="Q80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06" s="1" t="s">
        <v>2779</v>
      </c>
    </row>
    <row r="807" spans="1:18" x14ac:dyDescent="0.25">
      <c r="A807" t="s">
        <v>445</v>
      </c>
      <c r="B807" t="s">
        <v>446</v>
      </c>
      <c r="C807" s="1">
        <v>1910</v>
      </c>
      <c r="D807" s="1">
        <v>5</v>
      </c>
      <c r="F807" s="1">
        <v>17</v>
      </c>
      <c r="G807" s="1">
        <v>12</v>
      </c>
      <c r="H807" s="1">
        <v>34</v>
      </c>
      <c r="I807" s="1">
        <v>132</v>
      </c>
      <c r="J807" s="1">
        <v>377</v>
      </c>
      <c r="K807" s="1">
        <v>0</v>
      </c>
      <c r="L807" s="1">
        <v>509</v>
      </c>
      <c r="M807" s="6">
        <f>(Table2[[#This Row],[Grand Total of Lead Service Lines Replaced]]/(Table2[[#This Row],[Total to be identified or replaced]]+Table2[[#This Row],[Grand Total of Lead Service Lines Replaced]]))</f>
        <v>6.2615101289134445E-2</v>
      </c>
      <c r="N807" s="1">
        <v>271</v>
      </c>
      <c r="O807" s="1">
        <v>780</v>
      </c>
      <c r="P807" t="s">
        <v>2778</v>
      </c>
      <c r="Q80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07" s="1" t="s">
        <v>2783</v>
      </c>
    </row>
    <row r="808" spans="1:18" x14ac:dyDescent="0.25">
      <c r="A808" t="s">
        <v>1979</v>
      </c>
      <c r="B808" t="s">
        <v>1980</v>
      </c>
      <c r="C808" s="1">
        <v>154</v>
      </c>
      <c r="I808" s="1">
        <v>0</v>
      </c>
      <c r="J808" s="1">
        <v>0</v>
      </c>
      <c r="K808" s="1">
        <v>0</v>
      </c>
      <c r="L808" s="1">
        <v>0</v>
      </c>
      <c r="M808" s="6" t="s">
        <v>2784</v>
      </c>
      <c r="N808" s="1">
        <v>2</v>
      </c>
      <c r="O808" s="1">
        <v>2</v>
      </c>
      <c r="P808" t="s">
        <v>2778</v>
      </c>
      <c r="Q80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08" s="1" t="s">
        <v>2779</v>
      </c>
    </row>
    <row r="809" spans="1:18" x14ac:dyDescent="0.25">
      <c r="A809" t="s">
        <v>1981</v>
      </c>
      <c r="B809" t="s">
        <v>1982</v>
      </c>
      <c r="C809" s="1">
        <v>650</v>
      </c>
      <c r="I809" s="1">
        <v>0</v>
      </c>
      <c r="J809" s="1">
        <v>0</v>
      </c>
      <c r="K809" s="1">
        <v>0</v>
      </c>
      <c r="L809" s="1">
        <v>0</v>
      </c>
      <c r="M809" s="6" t="s">
        <v>2784</v>
      </c>
      <c r="N809" s="1">
        <v>483</v>
      </c>
      <c r="O809" s="1">
        <v>483</v>
      </c>
      <c r="P809" t="s">
        <v>2778</v>
      </c>
      <c r="Q80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09" s="1" t="s">
        <v>2779</v>
      </c>
    </row>
    <row r="810" spans="1:18" x14ac:dyDescent="0.25">
      <c r="A810" t="s">
        <v>815</v>
      </c>
      <c r="B810" t="s">
        <v>816</v>
      </c>
      <c r="C810" s="1">
        <v>14689</v>
      </c>
      <c r="D810" s="1">
        <v>3</v>
      </c>
      <c r="E810" s="1">
        <v>2</v>
      </c>
      <c r="F810" s="1">
        <v>7</v>
      </c>
      <c r="G810" s="1">
        <v>14</v>
      </c>
      <c r="H810" s="1">
        <v>26</v>
      </c>
      <c r="I810" s="1">
        <v>199</v>
      </c>
      <c r="J810" s="1">
        <v>186</v>
      </c>
      <c r="L810" s="1">
        <v>385</v>
      </c>
      <c r="M810" s="6">
        <f>(Table2[[#This Row],[Grand Total of Lead Service Lines Replaced]]/(Table2[[#This Row],[Total to be identified or replaced]]+Table2[[#This Row],[Grand Total of Lead Service Lines Replaced]]))</f>
        <v>6.3260340632603412E-2</v>
      </c>
      <c r="N810" s="1">
        <v>4880</v>
      </c>
      <c r="O810" s="1">
        <v>5265</v>
      </c>
      <c r="P810" t="s">
        <v>2778</v>
      </c>
      <c r="Q81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10" s="1" t="s">
        <v>2783</v>
      </c>
    </row>
    <row r="811" spans="1:18" x14ac:dyDescent="0.25">
      <c r="A811" t="s">
        <v>1985</v>
      </c>
      <c r="B811" t="s">
        <v>1986</v>
      </c>
      <c r="C811" s="1">
        <v>261</v>
      </c>
      <c r="I811" s="1">
        <v>0</v>
      </c>
      <c r="J811" s="1">
        <v>0</v>
      </c>
      <c r="K811" s="1">
        <v>0</v>
      </c>
      <c r="L811" s="1">
        <v>0</v>
      </c>
      <c r="M811" s="6" t="s">
        <v>2784</v>
      </c>
      <c r="N811" s="1">
        <v>84</v>
      </c>
      <c r="O811" s="1">
        <v>84</v>
      </c>
      <c r="P811">
        <v>2018</v>
      </c>
      <c r="Q81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11" s="1" t="s">
        <v>2779</v>
      </c>
    </row>
    <row r="812" spans="1:18" x14ac:dyDescent="0.25">
      <c r="A812" t="s">
        <v>2069</v>
      </c>
      <c r="B812" t="s">
        <v>2070</v>
      </c>
      <c r="C812" s="1">
        <v>648</v>
      </c>
      <c r="L812" s="1">
        <v>0</v>
      </c>
      <c r="M812" s="6" t="s">
        <v>2784</v>
      </c>
      <c r="N812" s="1">
        <v>338</v>
      </c>
      <c r="O812" s="1">
        <v>338</v>
      </c>
      <c r="P812">
        <v>2024</v>
      </c>
      <c r="Q81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12" s="1" t="s">
        <v>2779</v>
      </c>
    </row>
    <row r="813" spans="1:18" x14ac:dyDescent="0.25">
      <c r="A813" t="s">
        <v>1987</v>
      </c>
      <c r="B813" t="s">
        <v>1988</v>
      </c>
      <c r="C813" s="1">
        <v>340</v>
      </c>
      <c r="L813" s="1">
        <v>0</v>
      </c>
      <c r="M813" s="6" t="s">
        <v>2784</v>
      </c>
      <c r="N813" s="1">
        <v>200</v>
      </c>
      <c r="O813" s="1">
        <v>200</v>
      </c>
      <c r="P813" t="s">
        <v>2778</v>
      </c>
      <c r="Q81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13" s="1" t="s">
        <v>2779</v>
      </c>
    </row>
    <row r="814" spans="1:18" x14ac:dyDescent="0.25">
      <c r="A814" t="s">
        <v>1991</v>
      </c>
      <c r="B814" t="s">
        <v>1992</v>
      </c>
      <c r="C814" s="1">
        <v>1084</v>
      </c>
      <c r="I814" s="1">
        <v>0</v>
      </c>
      <c r="J814" s="1">
        <v>0</v>
      </c>
      <c r="K814" s="1">
        <v>0</v>
      </c>
      <c r="L814" s="1">
        <v>0</v>
      </c>
      <c r="M814" s="6" t="s">
        <v>2784</v>
      </c>
      <c r="N814" s="1">
        <v>441</v>
      </c>
      <c r="O814" s="1">
        <v>441</v>
      </c>
      <c r="P814" t="s">
        <v>2778</v>
      </c>
      <c r="Q81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14" s="1" t="s">
        <v>2779</v>
      </c>
    </row>
    <row r="815" spans="1:18" x14ac:dyDescent="0.25">
      <c r="A815" t="s">
        <v>527</v>
      </c>
      <c r="B815" t="s">
        <v>528</v>
      </c>
      <c r="C815" s="1">
        <v>3956</v>
      </c>
      <c r="D815" s="1">
        <v>8</v>
      </c>
      <c r="E815" s="1">
        <v>11</v>
      </c>
      <c r="F815" s="1">
        <v>21</v>
      </c>
      <c r="G815" s="1">
        <v>36</v>
      </c>
      <c r="H815" s="1">
        <v>76</v>
      </c>
      <c r="I815" s="1">
        <v>41</v>
      </c>
      <c r="J815" s="1">
        <v>1065</v>
      </c>
      <c r="K815" s="1">
        <v>0</v>
      </c>
      <c r="L815" s="1">
        <v>1106</v>
      </c>
      <c r="M815" s="6">
        <f>(Table2[[#This Row],[Grand Total of Lead Service Lines Replaced]]/(Table2[[#This Row],[Total to be identified or replaced]]+Table2[[#This Row],[Grand Total of Lead Service Lines Replaced]]))</f>
        <v>6.4297800338409469E-2</v>
      </c>
      <c r="N815" s="1">
        <v>460</v>
      </c>
      <c r="O815" s="1">
        <v>1566</v>
      </c>
      <c r="P815" t="s">
        <v>2778</v>
      </c>
      <c r="Q81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15" s="1" t="s">
        <v>2783</v>
      </c>
    </row>
    <row r="816" spans="1:18" x14ac:dyDescent="0.25">
      <c r="A816" t="s">
        <v>553</v>
      </c>
      <c r="B816" t="s">
        <v>554</v>
      </c>
      <c r="C816" s="1">
        <v>1200</v>
      </c>
      <c r="D816" s="1">
        <v>4</v>
      </c>
      <c r="E816" s="1">
        <v>12</v>
      </c>
      <c r="F816" s="1">
        <v>2</v>
      </c>
      <c r="G816" s="1">
        <v>8</v>
      </c>
      <c r="H816" s="1">
        <v>26</v>
      </c>
      <c r="I816" s="1">
        <v>203</v>
      </c>
      <c r="J816" s="1">
        <v>164</v>
      </c>
      <c r="K816" s="1">
        <v>0</v>
      </c>
      <c r="L816" s="1">
        <v>367</v>
      </c>
      <c r="M816" s="6">
        <f>(Table2[[#This Row],[Grand Total of Lead Service Lines Replaced]]/(Table2[[#This Row],[Total to be identified or replaced]]+Table2[[#This Row],[Grand Total of Lead Service Lines Replaced]]))</f>
        <v>6.6157760814249358E-2</v>
      </c>
      <c r="N816" s="1">
        <v>175</v>
      </c>
      <c r="O816" s="1">
        <v>542</v>
      </c>
      <c r="P816" t="s">
        <v>2778</v>
      </c>
      <c r="Q81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16" s="1" t="s">
        <v>2783</v>
      </c>
    </row>
    <row r="817" spans="1:18" x14ac:dyDescent="0.25">
      <c r="A817" t="s">
        <v>1993</v>
      </c>
      <c r="B817" t="s">
        <v>1994</v>
      </c>
      <c r="C817" s="1">
        <v>25600</v>
      </c>
      <c r="I817" s="1">
        <v>0</v>
      </c>
      <c r="J817" s="1">
        <v>0</v>
      </c>
      <c r="K817" s="1">
        <v>0</v>
      </c>
      <c r="L817" s="1">
        <v>0</v>
      </c>
      <c r="M817" s="6" t="s">
        <v>2784</v>
      </c>
      <c r="N817" s="1">
        <v>13072</v>
      </c>
      <c r="O817" s="1">
        <v>13072</v>
      </c>
      <c r="P817" t="s">
        <v>2778</v>
      </c>
      <c r="Q81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17" s="1" t="s">
        <v>2779</v>
      </c>
    </row>
    <row r="818" spans="1:18" x14ac:dyDescent="0.25">
      <c r="A818" t="s">
        <v>1995</v>
      </c>
      <c r="B818" t="s">
        <v>1996</v>
      </c>
      <c r="C818" s="1">
        <v>695</v>
      </c>
      <c r="I818" s="1">
        <v>0</v>
      </c>
      <c r="J818" s="1">
        <v>0</v>
      </c>
      <c r="K818" s="1">
        <v>0</v>
      </c>
      <c r="L818" s="1">
        <v>0</v>
      </c>
      <c r="M818" s="6" t="s">
        <v>2784</v>
      </c>
      <c r="N818" s="1">
        <v>380</v>
      </c>
      <c r="O818" s="1">
        <v>380</v>
      </c>
      <c r="P818" t="s">
        <v>2778</v>
      </c>
      <c r="Q81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18" s="1" t="s">
        <v>2779</v>
      </c>
    </row>
    <row r="819" spans="1:18" x14ac:dyDescent="0.25">
      <c r="A819" t="s">
        <v>1997</v>
      </c>
      <c r="B819" t="s">
        <v>1998</v>
      </c>
      <c r="C819" s="1">
        <v>1474</v>
      </c>
      <c r="I819" s="1">
        <v>0</v>
      </c>
      <c r="J819" s="1">
        <v>0</v>
      </c>
      <c r="K819" s="1">
        <v>0</v>
      </c>
      <c r="L819" s="1">
        <v>0</v>
      </c>
      <c r="M819" s="6" t="s">
        <v>2784</v>
      </c>
      <c r="N819" s="1">
        <v>578</v>
      </c>
      <c r="O819" s="1">
        <v>578</v>
      </c>
      <c r="P819" t="s">
        <v>2778</v>
      </c>
      <c r="Q81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19" s="1" t="s">
        <v>2779</v>
      </c>
    </row>
    <row r="820" spans="1:18" x14ac:dyDescent="0.25">
      <c r="A820" t="s">
        <v>513</v>
      </c>
      <c r="B820" t="s">
        <v>514</v>
      </c>
      <c r="C820" s="1">
        <v>3276</v>
      </c>
      <c r="D820" s="1">
        <v>10</v>
      </c>
      <c r="E820" s="1">
        <v>23</v>
      </c>
      <c r="F820" s="1">
        <v>11</v>
      </c>
      <c r="G820" s="1">
        <v>7</v>
      </c>
      <c r="H820" s="1">
        <v>51</v>
      </c>
      <c r="I820" s="1">
        <v>718</v>
      </c>
      <c r="J820" s="1">
        <v>0</v>
      </c>
      <c r="L820" s="1">
        <v>718</v>
      </c>
      <c r="M820" s="6">
        <f>(Table2[[#This Row],[Grand Total of Lead Service Lines Replaced]]/(Table2[[#This Row],[Total to be identified or replaced]]+Table2[[#This Row],[Grand Total of Lead Service Lines Replaced]]))</f>
        <v>6.6319895968790635E-2</v>
      </c>
      <c r="N820" s="1">
        <v>828</v>
      </c>
      <c r="O820" s="1">
        <v>1546</v>
      </c>
      <c r="P820" t="s">
        <v>2778</v>
      </c>
      <c r="Q82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20" s="1" t="s">
        <v>2783</v>
      </c>
    </row>
    <row r="821" spans="1:18" x14ac:dyDescent="0.25">
      <c r="A821" t="s">
        <v>851</v>
      </c>
      <c r="B821" t="s">
        <v>852</v>
      </c>
      <c r="C821" s="1">
        <v>565</v>
      </c>
      <c r="I821" s="1">
        <v>0</v>
      </c>
      <c r="J821" s="1">
        <v>0</v>
      </c>
      <c r="K821" s="1">
        <v>0</v>
      </c>
      <c r="L821" s="1">
        <v>0</v>
      </c>
      <c r="M821" s="6" t="s">
        <v>2784</v>
      </c>
      <c r="N821" s="1">
        <v>233</v>
      </c>
      <c r="O821" s="1">
        <v>233</v>
      </c>
      <c r="P821" t="s">
        <v>2778</v>
      </c>
      <c r="Q82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21" s="1" t="s">
        <v>2779</v>
      </c>
    </row>
    <row r="822" spans="1:18" x14ac:dyDescent="0.25">
      <c r="A822" t="s">
        <v>1999</v>
      </c>
      <c r="B822" t="s">
        <v>2000</v>
      </c>
      <c r="C822" s="1">
        <v>17046</v>
      </c>
      <c r="I822" s="1">
        <v>0</v>
      </c>
      <c r="J822" s="1">
        <v>0</v>
      </c>
      <c r="K822" s="1">
        <v>0</v>
      </c>
      <c r="L822" s="1">
        <v>0</v>
      </c>
      <c r="M822" s="6" t="s">
        <v>2784</v>
      </c>
      <c r="N822" s="1">
        <v>6073</v>
      </c>
      <c r="O822" s="1">
        <v>6073</v>
      </c>
      <c r="P822" t="s">
        <v>2778</v>
      </c>
      <c r="Q82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22" s="1" t="s">
        <v>2779</v>
      </c>
    </row>
    <row r="823" spans="1:18" x14ac:dyDescent="0.25">
      <c r="A823" t="s">
        <v>2001</v>
      </c>
      <c r="B823" t="s">
        <v>2002</v>
      </c>
      <c r="C823" s="1">
        <v>182</v>
      </c>
      <c r="I823" s="1">
        <v>0</v>
      </c>
      <c r="J823" s="1">
        <v>0</v>
      </c>
      <c r="K823" s="1">
        <v>0</v>
      </c>
      <c r="L823" s="1">
        <v>0</v>
      </c>
      <c r="M823" s="6" t="s">
        <v>2784</v>
      </c>
      <c r="N823" s="1">
        <v>390</v>
      </c>
      <c r="O823" s="1">
        <v>390</v>
      </c>
      <c r="P823" t="s">
        <v>2778</v>
      </c>
      <c r="Q8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23" s="1" t="s">
        <v>2779</v>
      </c>
    </row>
    <row r="824" spans="1:18" x14ac:dyDescent="0.25">
      <c r="A824" t="s">
        <v>115</v>
      </c>
      <c r="B824" t="s">
        <v>116</v>
      </c>
      <c r="C824" s="1">
        <v>88</v>
      </c>
      <c r="I824" s="1" t="s">
        <v>16</v>
      </c>
      <c r="M824" s="6" t="s">
        <v>2784</v>
      </c>
      <c r="P824" t="s">
        <v>2778</v>
      </c>
      <c r="Q824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24" s="1" t="s">
        <v>2782</v>
      </c>
    </row>
    <row r="825" spans="1:18" x14ac:dyDescent="0.25">
      <c r="A825" t="s">
        <v>107</v>
      </c>
      <c r="B825" t="s">
        <v>108</v>
      </c>
      <c r="C825" s="1">
        <v>100</v>
      </c>
      <c r="I825" s="1" t="s">
        <v>16</v>
      </c>
      <c r="M825" s="6" t="s">
        <v>2784</v>
      </c>
      <c r="P825" t="s">
        <v>2778</v>
      </c>
      <c r="Q825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25" s="1" t="s">
        <v>2782</v>
      </c>
    </row>
    <row r="826" spans="1:18" x14ac:dyDescent="0.25">
      <c r="A826" t="s">
        <v>523</v>
      </c>
      <c r="B826" t="s">
        <v>524</v>
      </c>
      <c r="C826" s="1">
        <v>2512</v>
      </c>
      <c r="D826" s="1">
        <v>4</v>
      </c>
      <c r="E826" s="1">
        <v>7</v>
      </c>
      <c r="F826" s="1">
        <v>17</v>
      </c>
      <c r="G826" s="1">
        <v>52</v>
      </c>
      <c r="H826" s="1">
        <v>80</v>
      </c>
      <c r="J826" s="1">
        <v>1110</v>
      </c>
      <c r="L826" s="1">
        <v>1110</v>
      </c>
      <c r="M826" s="6">
        <f>(Table2[[#This Row],[Grand Total of Lead Service Lines Replaced]]/(Table2[[#This Row],[Total to be identified or replaced]]+Table2[[#This Row],[Grand Total of Lead Service Lines Replaced]]))</f>
        <v>6.7226890756302518E-2</v>
      </c>
      <c r="N826" s="1">
        <v>137</v>
      </c>
      <c r="O826" s="1">
        <v>1247</v>
      </c>
      <c r="P826" t="s">
        <v>2778</v>
      </c>
      <c r="Q82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26" s="1" t="s">
        <v>2783</v>
      </c>
    </row>
    <row r="827" spans="1:18" x14ac:dyDescent="0.25">
      <c r="A827" t="s">
        <v>443</v>
      </c>
      <c r="B827" t="s">
        <v>444</v>
      </c>
      <c r="C827" s="1">
        <v>7350</v>
      </c>
      <c r="D827" s="1">
        <v>9</v>
      </c>
      <c r="E827" s="1">
        <v>7</v>
      </c>
      <c r="F827" s="1">
        <v>34</v>
      </c>
      <c r="G827" s="1">
        <v>62</v>
      </c>
      <c r="H827" s="1">
        <v>112</v>
      </c>
      <c r="I827" s="1">
        <v>783</v>
      </c>
      <c r="J827" s="1">
        <v>767</v>
      </c>
      <c r="K827" s="1">
        <v>0</v>
      </c>
      <c r="L827" s="1">
        <v>1550</v>
      </c>
      <c r="M827" s="6">
        <f>(Table2[[#This Row],[Grand Total of Lead Service Lines Replaced]]/(Table2[[#This Row],[Total to be identified or replaced]]+Table2[[#This Row],[Grand Total of Lead Service Lines Replaced]]))</f>
        <v>6.7388688327316482E-2</v>
      </c>
      <c r="N827" s="1">
        <v>1113</v>
      </c>
      <c r="O827" s="1">
        <v>2663</v>
      </c>
      <c r="P827" t="s">
        <v>2778</v>
      </c>
      <c r="Q82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27" s="1" t="s">
        <v>2783</v>
      </c>
    </row>
    <row r="828" spans="1:18" x14ac:dyDescent="0.25">
      <c r="A828" t="s">
        <v>2007</v>
      </c>
      <c r="B828" t="s">
        <v>2008</v>
      </c>
      <c r="C828" s="1">
        <v>1348</v>
      </c>
      <c r="I828" s="1">
        <v>0</v>
      </c>
      <c r="J828" s="1">
        <v>0</v>
      </c>
      <c r="K828" s="1">
        <v>0</v>
      </c>
      <c r="L828" s="1">
        <v>0</v>
      </c>
      <c r="M828" s="6" t="s">
        <v>2784</v>
      </c>
      <c r="N828" s="1">
        <v>639</v>
      </c>
      <c r="O828" s="1">
        <v>639</v>
      </c>
      <c r="P828" t="s">
        <v>2778</v>
      </c>
      <c r="Q82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28" s="1" t="s">
        <v>2779</v>
      </c>
    </row>
    <row r="829" spans="1:18" x14ac:dyDescent="0.25">
      <c r="A829" t="s">
        <v>2009</v>
      </c>
      <c r="B829" t="s">
        <v>2010</v>
      </c>
      <c r="C829" s="1">
        <v>11000</v>
      </c>
      <c r="I829" s="1">
        <v>0</v>
      </c>
      <c r="J829" s="1">
        <v>0</v>
      </c>
      <c r="K829" s="1">
        <v>0</v>
      </c>
      <c r="L829" s="1">
        <v>0</v>
      </c>
      <c r="M829" s="6" t="s">
        <v>2784</v>
      </c>
      <c r="N829" s="1">
        <v>4971</v>
      </c>
      <c r="O829" s="1">
        <v>4971</v>
      </c>
      <c r="P829" t="s">
        <v>2778</v>
      </c>
      <c r="Q82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29" s="1" t="s">
        <v>2779</v>
      </c>
    </row>
    <row r="830" spans="1:18" x14ac:dyDescent="0.25">
      <c r="A830" t="s">
        <v>1021</v>
      </c>
      <c r="B830" t="s">
        <v>1022</v>
      </c>
      <c r="C830" s="1">
        <v>1391</v>
      </c>
      <c r="D830" s="1">
        <v>8</v>
      </c>
      <c r="E830" s="1">
        <v>3</v>
      </c>
      <c r="F830" s="1">
        <v>3</v>
      </c>
      <c r="G830" s="1">
        <v>3</v>
      </c>
      <c r="H830" s="1">
        <v>17</v>
      </c>
      <c r="I830" s="1">
        <v>71</v>
      </c>
      <c r="J830" s="1">
        <v>11</v>
      </c>
      <c r="K830" s="1">
        <v>146</v>
      </c>
      <c r="L830" s="1">
        <v>228</v>
      </c>
      <c r="M830" s="6">
        <f>(Table2[[#This Row],[Grand Total of Lead Service Lines Replaced]]/(Table2[[#This Row],[Total to be identified or replaced]]+Table2[[#This Row],[Grand Total of Lead Service Lines Replaced]]))</f>
        <v>6.9387755102040816E-2</v>
      </c>
      <c r="N830" s="1">
        <v>193</v>
      </c>
      <c r="O830" s="1">
        <v>421</v>
      </c>
      <c r="P830" t="s">
        <v>2778</v>
      </c>
      <c r="Q83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30" s="1" t="s">
        <v>2783</v>
      </c>
    </row>
    <row r="831" spans="1:18" x14ac:dyDescent="0.25">
      <c r="A831" t="s">
        <v>99</v>
      </c>
      <c r="B831" t="s">
        <v>100</v>
      </c>
      <c r="C831" s="1">
        <v>120</v>
      </c>
      <c r="I831" s="1" t="s">
        <v>16</v>
      </c>
      <c r="M831" s="6" t="s">
        <v>2784</v>
      </c>
      <c r="P831" t="s">
        <v>2778</v>
      </c>
      <c r="Q831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31" s="1" t="s">
        <v>2782</v>
      </c>
    </row>
    <row r="832" spans="1:18" x14ac:dyDescent="0.25">
      <c r="A832" t="s">
        <v>353</v>
      </c>
      <c r="B832" t="s">
        <v>354</v>
      </c>
      <c r="C832" s="1">
        <v>16400</v>
      </c>
      <c r="D832" s="1">
        <v>32</v>
      </c>
      <c r="E832" s="1">
        <v>29</v>
      </c>
      <c r="F832" s="1">
        <v>31</v>
      </c>
      <c r="G832" s="1">
        <v>80</v>
      </c>
      <c r="H832" s="1">
        <v>172</v>
      </c>
      <c r="I832" s="1">
        <v>568</v>
      </c>
      <c r="J832" s="1">
        <v>0</v>
      </c>
      <c r="K832" s="1">
        <v>1718</v>
      </c>
      <c r="L832" s="1">
        <v>2286</v>
      </c>
      <c r="M832" s="6">
        <f>(Table2[[#This Row],[Grand Total of Lead Service Lines Replaced]]/(Table2[[#This Row],[Total to be identified or replaced]]+Table2[[#This Row],[Grand Total of Lead Service Lines Replaced]]))</f>
        <v>6.9975589910496336E-2</v>
      </c>
      <c r="N832" s="1">
        <v>4776</v>
      </c>
      <c r="O832" s="1">
        <v>7062</v>
      </c>
      <c r="P832">
        <v>2020</v>
      </c>
      <c r="Q83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32" s="1" t="s">
        <v>2783</v>
      </c>
    </row>
    <row r="833" spans="1:18" x14ac:dyDescent="0.25">
      <c r="A833" t="s">
        <v>305</v>
      </c>
      <c r="B833" t="s">
        <v>306</v>
      </c>
      <c r="C833" s="1">
        <v>450</v>
      </c>
      <c r="D833" s="1">
        <v>2</v>
      </c>
      <c r="E833" s="1">
        <v>1</v>
      </c>
      <c r="F833" s="1">
        <v>3</v>
      </c>
      <c r="G833" s="1">
        <v>1</v>
      </c>
      <c r="H833" s="1">
        <v>7</v>
      </c>
      <c r="I833" s="1">
        <v>0</v>
      </c>
      <c r="J833" s="1">
        <v>3</v>
      </c>
      <c r="K833" s="1">
        <v>90</v>
      </c>
      <c r="L833" s="1">
        <v>93</v>
      </c>
      <c r="M833" s="6">
        <f>(Table2[[#This Row],[Grand Total of Lead Service Lines Replaced]]/(Table2[[#This Row],[Total to be identified or replaced]]+Table2[[#This Row],[Grand Total of Lead Service Lines Replaced]]))</f>
        <v>7.0000000000000007E-2</v>
      </c>
      <c r="N833" s="1">
        <v>48</v>
      </c>
      <c r="O833" s="1">
        <v>141</v>
      </c>
      <c r="P833" t="s">
        <v>2778</v>
      </c>
      <c r="Q83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33" s="1" t="s">
        <v>2783</v>
      </c>
    </row>
    <row r="834" spans="1:18" x14ac:dyDescent="0.25">
      <c r="A834" t="s">
        <v>2013</v>
      </c>
      <c r="B834" t="s">
        <v>2014</v>
      </c>
      <c r="C834" s="1">
        <v>74</v>
      </c>
      <c r="I834" s="1">
        <v>0</v>
      </c>
      <c r="J834" s="1">
        <v>0</v>
      </c>
      <c r="K834" s="1">
        <v>0</v>
      </c>
      <c r="L834" s="1">
        <v>0</v>
      </c>
      <c r="M834" s="6" t="s">
        <v>2784</v>
      </c>
      <c r="N834" s="1">
        <v>5</v>
      </c>
      <c r="O834" s="1">
        <v>5</v>
      </c>
      <c r="P834" t="s">
        <v>2778</v>
      </c>
      <c r="Q83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34" s="1" t="s">
        <v>2779</v>
      </c>
    </row>
    <row r="835" spans="1:18" x14ac:dyDescent="0.25">
      <c r="A835" t="s">
        <v>2015</v>
      </c>
      <c r="B835" t="s">
        <v>2016</v>
      </c>
      <c r="C835" s="1">
        <v>206</v>
      </c>
      <c r="I835" s="1">
        <v>0</v>
      </c>
      <c r="J835" s="1">
        <v>0</v>
      </c>
      <c r="K835" s="1">
        <v>0</v>
      </c>
      <c r="L835" s="1">
        <v>0</v>
      </c>
      <c r="M835" s="6" t="s">
        <v>2784</v>
      </c>
      <c r="N835" s="1">
        <v>104</v>
      </c>
      <c r="O835" s="1">
        <v>104</v>
      </c>
      <c r="P835" t="s">
        <v>2778</v>
      </c>
      <c r="Q83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35" s="1" t="s">
        <v>2779</v>
      </c>
    </row>
    <row r="836" spans="1:18" x14ac:dyDescent="0.25">
      <c r="A836" t="s">
        <v>923</v>
      </c>
      <c r="B836" t="s">
        <v>924</v>
      </c>
      <c r="C836" s="1">
        <v>3086</v>
      </c>
      <c r="D836" s="1">
        <v>4</v>
      </c>
      <c r="E836" s="1">
        <v>5</v>
      </c>
      <c r="F836" s="1">
        <v>6</v>
      </c>
      <c r="G836" s="1">
        <v>6</v>
      </c>
      <c r="H836" s="1">
        <v>21</v>
      </c>
      <c r="I836" s="1">
        <v>63</v>
      </c>
      <c r="J836" s="1">
        <v>59</v>
      </c>
      <c r="K836" s="1">
        <v>149</v>
      </c>
      <c r="L836" s="1">
        <v>271</v>
      </c>
      <c r="M836" s="6">
        <f>(Table2[[#This Row],[Grand Total of Lead Service Lines Replaced]]/(Table2[[#This Row],[Total to be identified or replaced]]+Table2[[#This Row],[Grand Total of Lead Service Lines Replaced]]))</f>
        <v>7.1917808219178078E-2</v>
      </c>
      <c r="N836" s="1">
        <v>876</v>
      </c>
      <c r="O836" s="1">
        <v>1147</v>
      </c>
      <c r="P836" t="s">
        <v>2778</v>
      </c>
      <c r="Q83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36" s="1" t="s">
        <v>2783</v>
      </c>
    </row>
    <row r="837" spans="1:18" x14ac:dyDescent="0.25">
      <c r="A837" t="s">
        <v>2017</v>
      </c>
      <c r="B837" t="s">
        <v>2018</v>
      </c>
      <c r="C837" s="1">
        <v>724</v>
      </c>
      <c r="I837" s="1">
        <v>0</v>
      </c>
      <c r="J837" s="1">
        <v>0</v>
      </c>
      <c r="K837" s="1">
        <v>0</v>
      </c>
      <c r="L837" s="1">
        <v>0</v>
      </c>
      <c r="M837" s="6" t="s">
        <v>2784</v>
      </c>
      <c r="N837" s="1">
        <v>206</v>
      </c>
      <c r="O837" s="1">
        <v>206</v>
      </c>
      <c r="P837" t="s">
        <v>2778</v>
      </c>
      <c r="Q83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37" s="1" t="s">
        <v>2779</v>
      </c>
    </row>
    <row r="838" spans="1:18" x14ac:dyDescent="0.25">
      <c r="A838" t="s">
        <v>167</v>
      </c>
      <c r="B838" t="s">
        <v>168</v>
      </c>
      <c r="C838" s="1">
        <v>63600</v>
      </c>
      <c r="D838" s="1">
        <v>146</v>
      </c>
      <c r="E838" s="1">
        <v>133</v>
      </c>
      <c r="F838" s="1">
        <v>258</v>
      </c>
      <c r="G838" s="1">
        <v>314</v>
      </c>
      <c r="H838" s="1">
        <v>851</v>
      </c>
      <c r="I838" s="1">
        <v>101</v>
      </c>
      <c r="J838" s="1">
        <v>1036</v>
      </c>
      <c r="K838" s="1">
        <v>9609</v>
      </c>
      <c r="L838" s="1">
        <v>10746</v>
      </c>
      <c r="M838" s="6">
        <f>(Table2[[#This Row],[Grand Total of Lead Service Lines Replaced]]/(Table2[[#This Row],[Total to be identified or replaced]]+Table2[[#This Row],[Grand Total of Lead Service Lines Replaced]]))</f>
        <v>7.3381046822454082E-2</v>
      </c>
      <c r="N838" s="1">
        <v>8759</v>
      </c>
      <c r="O838" s="1">
        <v>19505</v>
      </c>
      <c r="P838" t="s">
        <v>2778</v>
      </c>
      <c r="Q83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38" s="1" t="s">
        <v>2783</v>
      </c>
    </row>
    <row r="839" spans="1:18" x14ac:dyDescent="0.25">
      <c r="A839" t="s">
        <v>2021</v>
      </c>
      <c r="B839" t="s">
        <v>2022</v>
      </c>
      <c r="C839" s="1">
        <v>197</v>
      </c>
      <c r="I839" s="1">
        <v>0</v>
      </c>
      <c r="J839" s="1">
        <v>0</v>
      </c>
      <c r="K839" s="1">
        <v>0</v>
      </c>
      <c r="L839" s="1">
        <v>0</v>
      </c>
      <c r="M839" s="6" t="s">
        <v>2784</v>
      </c>
      <c r="N839" s="1">
        <v>107</v>
      </c>
      <c r="O839" s="1">
        <v>107</v>
      </c>
      <c r="P839" t="s">
        <v>2778</v>
      </c>
      <c r="Q8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39" s="1" t="s">
        <v>2779</v>
      </c>
    </row>
    <row r="840" spans="1:18" x14ac:dyDescent="0.25">
      <c r="A840" t="s">
        <v>2023</v>
      </c>
      <c r="B840" t="s">
        <v>2024</v>
      </c>
      <c r="C840" s="1">
        <v>86</v>
      </c>
      <c r="I840" s="1">
        <v>0</v>
      </c>
      <c r="J840" s="1">
        <v>0</v>
      </c>
      <c r="K840" s="1">
        <v>0</v>
      </c>
      <c r="L840" s="1">
        <v>0</v>
      </c>
      <c r="M840" s="6" t="s">
        <v>2784</v>
      </c>
      <c r="N840" s="1">
        <v>1</v>
      </c>
      <c r="O840" s="1">
        <v>1</v>
      </c>
      <c r="P840" t="s">
        <v>2778</v>
      </c>
      <c r="Q8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40" s="1" t="s">
        <v>2779</v>
      </c>
    </row>
    <row r="841" spans="1:18" x14ac:dyDescent="0.25">
      <c r="A841" t="s">
        <v>2025</v>
      </c>
      <c r="B841" t="s">
        <v>2026</v>
      </c>
      <c r="C841" s="1">
        <v>66</v>
      </c>
      <c r="I841" s="1">
        <v>0</v>
      </c>
      <c r="J841" s="1">
        <v>0</v>
      </c>
      <c r="K841" s="1">
        <v>0</v>
      </c>
      <c r="L841" s="1">
        <v>0</v>
      </c>
      <c r="M841" s="6" t="s">
        <v>2784</v>
      </c>
      <c r="N841" s="1">
        <v>1</v>
      </c>
      <c r="O841" s="1">
        <v>1</v>
      </c>
      <c r="P841" t="s">
        <v>2778</v>
      </c>
      <c r="Q8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41" s="1" t="s">
        <v>2779</v>
      </c>
    </row>
    <row r="842" spans="1:18" x14ac:dyDescent="0.25">
      <c r="A842" t="s">
        <v>2027</v>
      </c>
      <c r="B842" t="s">
        <v>2028</v>
      </c>
      <c r="C842" s="1">
        <v>45</v>
      </c>
      <c r="I842" s="1">
        <v>0</v>
      </c>
      <c r="J842" s="1">
        <v>0</v>
      </c>
      <c r="K842" s="1">
        <v>0</v>
      </c>
      <c r="L842" s="1">
        <v>0</v>
      </c>
      <c r="M842" s="6" t="s">
        <v>2784</v>
      </c>
      <c r="N842" s="1">
        <v>27</v>
      </c>
      <c r="O842" s="1">
        <v>27</v>
      </c>
      <c r="P842" t="s">
        <v>2778</v>
      </c>
      <c r="Q84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42" s="1" t="s">
        <v>2779</v>
      </c>
    </row>
    <row r="843" spans="1:18" x14ac:dyDescent="0.25">
      <c r="A843" t="s">
        <v>2029</v>
      </c>
      <c r="B843" t="s">
        <v>2030</v>
      </c>
      <c r="C843" s="1">
        <v>122</v>
      </c>
      <c r="I843" s="1">
        <v>0</v>
      </c>
      <c r="J843" s="1">
        <v>0</v>
      </c>
      <c r="K843" s="1">
        <v>0</v>
      </c>
      <c r="L843" s="1">
        <v>0</v>
      </c>
      <c r="M843" s="6" t="s">
        <v>2784</v>
      </c>
      <c r="N843" s="1">
        <v>61</v>
      </c>
      <c r="O843" s="1">
        <v>61</v>
      </c>
      <c r="P843" t="s">
        <v>2778</v>
      </c>
      <c r="Q8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43" s="1" t="s">
        <v>2779</v>
      </c>
    </row>
    <row r="844" spans="1:18" x14ac:dyDescent="0.25">
      <c r="A844" t="s">
        <v>2031</v>
      </c>
      <c r="B844" t="s">
        <v>2032</v>
      </c>
      <c r="C844" s="1">
        <v>5217</v>
      </c>
      <c r="I844" s="1">
        <v>0</v>
      </c>
      <c r="J844" s="1">
        <v>0</v>
      </c>
      <c r="K844" s="1">
        <v>0</v>
      </c>
      <c r="L844" s="1">
        <v>0</v>
      </c>
      <c r="M844" s="6" t="s">
        <v>2784</v>
      </c>
      <c r="N844" s="1">
        <v>2238</v>
      </c>
      <c r="O844" s="1">
        <v>2238</v>
      </c>
      <c r="P844" t="s">
        <v>2778</v>
      </c>
      <c r="Q84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44" s="1" t="s">
        <v>2779</v>
      </c>
    </row>
    <row r="845" spans="1:18" x14ac:dyDescent="0.25">
      <c r="A845" t="s">
        <v>423</v>
      </c>
      <c r="B845" t="s">
        <v>424</v>
      </c>
      <c r="C845" s="1">
        <v>6768</v>
      </c>
      <c r="D845" s="1">
        <v>1</v>
      </c>
      <c r="E845" s="1">
        <v>2</v>
      </c>
      <c r="F845" s="1">
        <v>1</v>
      </c>
      <c r="G845" s="1">
        <v>5</v>
      </c>
      <c r="H845" s="1">
        <v>9</v>
      </c>
      <c r="I845" s="1">
        <v>33</v>
      </c>
      <c r="J845" s="1">
        <v>7</v>
      </c>
      <c r="K845" s="1">
        <v>71</v>
      </c>
      <c r="L845" s="1">
        <v>111</v>
      </c>
      <c r="M845" s="6">
        <f>(Table2[[#This Row],[Grand Total of Lead Service Lines Replaced]]/(Table2[[#This Row],[Total to be identified or replaced]]+Table2[[#This Row],[Grand Total of Lead Service Lines Replaced]]))</f>
        <v>7.4999999999999997E-2</v>
      </c>
      <c r="N845" s="1">
        <v>2646</v>
      </c>
      <c r="O845" s="1">
        <v>2757</v>
      </c>
      <c r="P845">
        <v>2024</v>
      </c>
      <c r="Q84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45" s="1" t="s">
        <v>2783</v>
      </c>
    </row>
    <row r="846" spans="1:18" x14ac:dyDescent="0.25">
      <c r="A846" t="s">
        <v>2033</v>
      </c>
      <c r="B846" t="s">
        <v>2034</v>
      </c>
      <c r="C846" s="1">
        <v>33816</v>
      </c>
      <c r="I846" s="1">
        <v>0</v>
      </c>
      <c r="J846" s="1">
        <v>0</v>
      </c>
      <c r="K846" s="1">
        <v>0</v>
      </c>
      <c r="L846" s="1">
        <v>0</v>
      </c>
      <c r="M846" s="6" t="s">
        <v>2784</v>
      </c>
      <c r="N846" s="1">
        <v>12277</v>
      </c>
      <c r="O846" s="1">
        <v>12277</v>
      </c>
      <c r="P846" t="s">
        <v>2778</v>
      </c>
      <c r="Q84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46" s="1" t="s">
        <v>2779</v>
      </c>
    </row>
    <row r="847" spans="1:18" x14ac:dyDescent="0.25">
      <c r="A847" t="s">
        <v>555</v>
      </c>
      <c r="B847" t="s">
        <v>556</v>
      </c>
      <c r="C847" s="1">
        <v>2735</v>
      </c>
      <c r="D847" s="1">
        <v>61</v>
      </c>
      <c r="E847" s="1">
        <v>3</v>
      </c>
      <c r="F847" s="1">
        <v>6</v>
      </c>
      <c r="G847" s="1">
        <v>6</v>
      </c>
      <c r="H847" s="1">
        <v>76</v>
      </c>
      <c r="I847" s="1">
        <v>11</v>
      </c>
      <c r="J847" s="1">
        <v>624</v>
      </c>
      <c r="K847" s="1">
        <v>301</v>
      </c>
      <c r="L847" s="1">
        <v>936</v>
      </c>
      <c r="M847" s="6">
        <f>(Table2[[#This Row],[Grand Total of Lead Service Lines Replaced]]/(Table2[[#This Row],[Total to be identified or replaced]]+Table2[[#This Row],[Grand Total of Lead Service Lines Replaced]]))</f>
        <v>7.5098814229249009E-2</v>
      </c>
      <c r="N847" s="1">
        <v>20</v>
      </c>
      <c r="O847" s="1">
        <v>956</v>
      </c>
      <c r="P847" t="s">
        <v>2778</v>
      </c>
      <c r="Q84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47" s="1" t="s">
        <v>2783</v>
      </c>
    </row>
    <row r="848" spans="1:18" x14ac:dyDescent="0.25">
      <c r="A848" t="s">
        <v>47</v>
      </c>
      <c r="B848" t="s">
        <v>48</v>
      </c>
      <c r="C848" s="1">
        <v>864</v>
      </c>
      <c r="I848" s="1" t="s">
        <v>16</v>
      </c>
      <c r="M848" s="6" t="s">
        <v>2784</v>
      </c>
      <c r="P848" t="s">
        <v>2778</v>
      </c>
      <c r="Q848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48" s="1" t="s">
        <v>2782</v>
      </c>
    </row>
    <row r="849" spans="1:18" x14ac:dyDescent="0.25">
      <c r="A849" t="s">
        <v>2037</v>
      </c>
      <c r="B849" t="s">
        <v>2038</v>
      </c>
      <c r="C849" s="1">
        <v>1657</v>
      </c>
      <c r="G849" s="1">
        <v>7</v>
      </c>
      <c r="H849" s="1">
        <v>7</v>
      </c>
      <c r="I849" s="1">
        <v>0</v>
      </c>
      <c r="J849" s="1">
        <v>0</v>
      </c>
      <c r="K849" s="1">
        <v>0</v>
      </c>
      <c r="L849" s="1">
        <v>0</v>
      </c>
      <c r="M849" s="6">
        <f>(Table2[[#This Row],[Grand Total of Lead Service Lines Replaced]]/(Table2[[#This Row],[Total to be identified or replaced]]+Table2[[#This Row],[Grand Total of Lead Service Lines Replaced]]))</f>
        <v>1</v>
      </c>
      <c r="N849" s="1">
        <v>668</v>
      </c>
      <c r="O849" s="1">
        <v>668</v>
      </c>
      <c r="P849" t="s">
        <v>2778</v>
      </c>
      <c r="Q849" t="s">
        <v>2785</v>
      </c>
      <c r="R849" s="7" t="s">
        <v>2786</v>
      </c>
    </row>
    <row r="850" spans="1:18" x14ac:dyDescent="0.25">
      <c r="A850" t="s">
        <v>131</v>
      </c>
      <c r="B850" t="s">
        <v>132</v>
      </c>
      <c r="C850" s="1">
        <v>80</v>
      </c>
      <c r="I850" s="1" t="s">
        <v>16</v>
      </c>
      <c r="M850" s="6" t="s">
        <v>2784</v>
      </c>
      <c r="P850" t="s">
        <v>2778</v>
      </c>
      <c r="Q850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50" s="1" t="s">
        <v>2782</v>
      </c>
    </row>
    <row r="851" spans="1:18" x14ac:dyDescent="0.25">
      <c r="A851" t="s">
        <v>1905</v>
      </c>
      <c r="B851" t="s">
        <v>1906</v>
      </c>
      <c r="C851" s="1">
        <v>1078</v>
      </c>
      <c r="F851" s="1">
        <v>4</v>
      </c>
      <c r="H851" s="1">
        <v>4</v>
      </c>
      <c r="I851" s="1">
        <v>0</v>
      </c>
      <c r="J851" s="1">
        <v>46</v>
      </c>
      <c r="L851" s="1">
        <v>46</v>
      </c>
      <c r="M851" s="6">
        <f>(Table2[[#This Row],[Grand Total of Lead Service Lines Replaced]]/(Table2[[#This Row],[Total to be identified or replaced]]+Table2[[#This Row],[Grand Total of Lead Service Lines Replaced]]))</f>
        <v>0.08</v>
      </c>
      <c r="N851" s="1">
        <v>481</v>
      </c>
      <c r="O851" s="1">
        <v>527</v>
      </c>
      <c r="P851" t="s">
        <v>2778</v>
      </c>
      <c r="Q85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51" s="1" t="s">
        <v>2783</v>
      </c>
    </row>
    <row r="852" spans="1:18" x14ac:dyDescent="0.25">
      <c r="A852" t="s">
        <v>2041</v>
      </c>
      <c r="B852" t="s">
        <v>2042</v>
      </c>
      <c r="C852" s="1">
        <v>258</v>
      </c>
      <c r="I852" s="1">
        <v>0</v>
      </c>
      <c r="J852" s="1">
        <v>0</v>
      </c>
      <c r="K852" s="1">
        <v>0</v>
      </c>
      <c r="L852" s="1">
        <v>0</v>
      </c>
      <c r="M852" s="6" t="s">
        <v>2784</v>
      </c>
      <c r="N852" s="1">
        <v>103</v>
      </c>
      <c r="O852" s="1">
        <v>103</v>
      </c>
      <c r="P852" t="s">
        <v>2778</v>
      </c>
      <c r="Q8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52" s="1" t="s">
        <v>2779</v>
      </c>
    </row>
    <row r="853" spans="1:18" x14ac:dyDescent="0.25">
      <c r="A853" t="s">
        <v>2043</v>
      </c>
      <c r="B853" t="s">
        <v>2044</v>
      </c>
      <c r="C853" s="1">
        <v>150</v>
      </c>
      <c r="I853" s="1">
        <v>0</v>
      </c>
      <c r="J853" s="1">
        <v>0</v>
      </c>
      <c r="K853" s="1">
        <v>0</v>
      </c>
      <c r="L853" s="1">
        <v>0</v>
      </c>
      <c r="M853" s="6" t="s">
        <v>2784</v>
      </c>
      <c r="N853" s="1">
        <v>60</v>
      </c>
      <c r="O853" s="1">
        <v>60</v>
      </c>
      <c r="P853" t="s">
        <v>2778</v>
      </c>
      <c r="Q8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53" s="1" t="s">
        <v>2779</v>
      </c>
    </row>
    <row r="854" spans="1:18" x14ac:dyDescent="0.25">
      <c r="A854" t="s">
        <v>613</v>
      </c>
      <c r="B854" t="s">
        <v>614</v>
      </c>
      <c r="C854" s="1">
        <v>2220</v>
      </c>
      <c r="D854" s="1">
        <v>2</v>
      </c>
      <c r="G854" s="1">
        <v>65</v>
      </c>
      <c r="H854" s="1">
        <v>67</v>
      </c>
      <c r="I854" s="1">
        <v>63</v>
      </c>
      <c r="J854" s="1">
        <v>29</v>
      </c>
      <c r="K854" s="1">
        <v>667</v>
      </c>
      <c r="L854" s="1">
        <v>759</v>
      </c>
      <c r="M854" s="6">
        <f>(Table2[[#This Row],[Grand Total of Lead Service Lines Replaced]]/(Table2[[#This Row],[Total to be identified or replaced]]+Table2[[#This Row],[Grand Total of Lead Service Lines Replaced]]))</f>
        <v>8.1113801452784504E-2</v>
      </c>
      <c r="N854" s="1">
        <v>179</v>
      </c>
      <c r="O854" s="1">
        <v>938</v>
      </c>
      <c r="P854" t="s">
        <v>2778</v>
      </c>
      <c r="Q85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54" s="1" t="s">
        <v>2783</v>
      </c>
    </row>
    <row r="855" spans="1:18" x14ac:dyDescent="0.25">
      <c r="A855" t="s">
        <v>151</v>
      </c>
      <c r="B855" t="s">
        <v>152</v>
      </c>
      <c r="C855" s="1">
        <v>33165</v>
      </c>
      <c r="D855" s="1">
        <v>338</v>
      </c>
      <c r="E855" s="1">
        <v>103</v>
      </c>
      <c r="F855" s="1">
        <v>186</v>
      </c>
      <c r="G855" s="1">
        <v>368</v>
      </c>
      <c r="H855" s="1">
        <v>995</v>
      </c>
      <c r="I855" s="1">
        <v>7840</v>
      </c>
      <c r="J855" s="1">
        <v>1</v>
      </c>
      <c r="K855" s="1">
        <v>3360</v>
      </c>
      <c r="L855" s="1">
        <v>11201</v>
      </c>
      <c r="M855" s="6">
        <f>(Table2[[#This Row],[Grand Total of Lead Service Lines Replaced]]/(Table2[[#This Row],[Total to be identified or replaced]]+Table2[[#This Row],[Grand Total of Lead Service Lines Replaced]]))</f>
        <v>8.1584125942932115E-2</v>
      </c>
      <c r="N855" s="1">
        <v>1292</v>
      </c>
      <c r="O855" s="1">
        <v>12493</v>
      </c>
      <c r="P855" t="s">
        <v>2778</v>
      </c>
      <c r="Q85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55" s="1" t="s">
        <v>2783</v>
      </c>
    </row>
    <row r="856" spans="1:18" x14ac:dyDescent="0.25">
      <c r="A856" t="s">
        <v>337</v>
      </c>
      <c r="B856" t="s">
        <v>338</v>
      </c>
      <c r="C856" s="1">
        <v>7224</v>
      </c>
      <c r="F856" s="1">
        <v>97</v>
      </c>
      <c r="G856" s="1">
        <v>139</v>
      </c>
      <c r="H856" s="1">
        <v>236</v>
      </c>
      <c r="I856" s="1">
        <v>155</v>
      </c>
      <c r="J856" s="1">
        <v>0</v>
      </c>
      <c r="K856" s="1">
        <v>2481</v>
      </c>
      <c r="L856" s="1">
        <v>2636</v>
      </c>
      <c r="M856" s="6">
        <f>(Table2[[#This Row],[Grand Total of Lead Service Lines Replaced]]/(Table2[[#This Row],[Total to be identified or replaced]]+Table2[[#This Row],[Grand Total of Lead Service Lines Replaced]]))</f>
        <v>8.2172701949860719E-2</v>
      </c>
      <c r="N856" s="1">
        <v>371</v>
      </c>
      <c r="O856" s="1">
        <v>3007</v>
      </c>
      <c r="P856">
        <v>2025</v>
      </c>
      <c r="Q85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56" s="1" t="s">
        <v>2783</v>
      </c>
    </row>
    <row r="857" spans="1:18" x14ac:dyDescent="0.25">
      <c r="A857" t="s">
        <v>1060</v>
      </c>
      <c r="B857" t="s">
        <v>1061</v>
      </c>
      <c r="C857" s="1">
        <v>2215</v>
      </c>
      <c r="D857" s="1">
        <v>9</v>
      </c>
      <c r="F857" s="1">
        <v>9</v>
      </c>
      <c r="H857" s="1">
        <v>18</v>
      </c>
      <c r="I857" s="1">
        <v>0</v>
      </c>
      <c r="J857" s="1">
        <v>200</v>
      </c>
      <c r="K857" s="1">
        <v>0</v>
      </c>
      <c r="L857" s="1">
        <v>200</v>
      </c>
      <c r="M857" s="6">
        <f>(Table2[[#This Row],[Grand Total of Lead Service Lines Replaced]]/(Table2[[#This Row],[Total to be identified or replaced]]+Table2[[#This Row],[Grand Total of Lead Service Lines Replaced]]))</f>
        <v>8.2568807339449546E-2</v>
      </c>
      <c r="N857" s="1">
        <v>861</v>
      </c>
      <c r="O857" s="1">
        <v>1061</v>
      </c>
      <c r="P857" t="s">
        <v>2778</v>
      </c>
      <c r="Q85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57" s="1" t="s">
        <v>2783</v>
      </c>
    </row>
    <row r="858" spans="1:18" x14ac:dyDescent="0.25">
      <c r="A858" t="s">
        <v>725</v>
      </c>
      <c r="B858" t="s">
        <v>726</v>
      </c>
      <c r="C858" s="1">
        <v>6976</v>
      </c>
      <c r="D858" s="1">
        <v>8</v>
      </c>
      <c r="E858" s="1">
        <v>5</v>
      </c>
      <c r="F858" s="1">
        <v>13</v>
      </c>
      <c r="G858" s="1">
        <v>19</v>
      </c>
      <c r="H858" s="1">
        <v>45</v>
      </c>
      <c r="I858" s="1">
        <v>4</v>
      </c>
      <c r="J858" s="1">
        <v>381</v>
      </c>
      <c r="K858" s="1">
        <v>108</v>
      </c>
      <c r="L858" s="1">
        <v>493</v>
      </c>
      <c r="M858" s="6">
        <f>(Table2[[#This Row],[Grand Total of Lead Service Lines Replaced]]/(Table2[[#This Row],[Total to be identified or replaced]]+Table2[[#This Row],[Grand Total of Lead Service Lines Replaced]]))</f>
        <v>8.3643122676579931E-2</v>
      </c>
      <c r="N858" s="1">
        <v>965</v>
      </c>
      <c r="O858" s="1">
        <v>1458</v>
      </c>
      <c r="P858" t="s">
        <v>2778</v>
      </c>
      <c r="Q85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58" s="1" t="s">
        <v>2783</v>
      </c>
    </row>
    <row r="859" spans="1:18" x14ac:dyDescent="0.25">
      <c r="A859" t="s">
        <v>2051</v>
      </c>
      <c r="B859" t="s">
        <v>2052</v>
      </c>
      <c r="C859" s="1">
        <v>465</v>
      </c>
      <c r="I859" s="1">
        <v>0</v>
      </c>
      <c r="J859" s="1">
        <v>0</v>
      </c>
      <c r="K859" s="1">
        <v>0</v>
      </c>
      <c r="L859" s="1">
        <v>0</v>
      </c>
      <c r="M859" s="6" t="s">
        <v>2784</v>
      </c>
      <c r="N859" s="1">
        <v>10</v>
      </c>
      <c r="O859" s="1">
        <v>10</v>
      </c>
      <c r="P859" t="s">
        <v>2778</v>
      </c>
      <c r="Q85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59" s="1" t="s">
        <v>2779</v>
      </c>
    </row>
    <row r="860" spans="1:18" x14ac:dyDescent="0.25">
      <c r="A860" t="s">
        <v>2053</v>
      </c>
      <c r="B860" t="s">
        <v>2054</v>
      </c>
      <c r="C860" s="1">
        <v>5133</v>
      </c>
      <c r="I860" s="1">
        <v>0</v>
      </c>
      <c r="J860" s="1">
        <v>0</v>
      </c>
      <c r="K860" s="1">
        <v>0</v>
      </c>
      <c r="L860" s="1">
        <v>0</v>
      </c>
      <c r="M860" s="6" t="s">
        <v>2784</v>
      </c>
      <c r="N860" s="1">
        <v>1982</v>
      </c>
      <c r="O860" s="1">
        <v>1982</v>
      </c>
      <c r="P860" t="s">
        <v>2778</v>
      </c>
      <c r="Q86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60" s="1" t="s">
        <v>2779</v>
      </c>
    </row>
    <row r="861" spans="1:18" x14ac:dyDescent="0.25">
      <c r="A861" t="s">
        <v>159</v>
      </c>
      <c r="B861" t="s">
        <v>160</v>
      </c>
      <c r="C861" s="1">
        <v>43975</v>
      </c>
      <c r="D861" s="1">
        <v>227</v>
      </c>
      <c r="E861" s="1">
        <v>194</v>
      </c>
      <c r="F861" s="1">
        <v>330</v>
      </c>
      <c r="G861" s="1">
        <v>254</v>
      </c>
      <c r="H861" s="1">
        <v>1005</v>
      </c>
      <c r="I861" s="1">
        <v>3614</v>
      </c>
      <c r="J861" s="1">
        <v>167</v>
      </c>
      <c r="K861" s="1">
        <v>7066</v>
      </c>
      <c r="L861" s="1">
        <v>10847</v>
      </c>
      <c r="M861" s="6">
        <f>(Table2[[#This Row],[Grand Total of Lead Service Lines Replaced]]/(Table2[[#This Row],[Total to be identified or replaced]]+Table2[[#This Row],[Grand Total of Lead Service Lines Replaced]]))</f>
        <v>8.4795815052311846E-2</v>
      </c>
      <c r="N861" s="1">
        <v>7936</v>
      </c>
      <c r="O861" s="1">
        <v>18783</v>
      </c>
      <c r="P861" t="s">
        <v>2778</v>
      </c>
      <c r="Q86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61" s="1" t="s">
        <v>2783</v>
      </c>
    </row>
    <row r="862" spans="1:18" x14ac:dyDescent="0.25">
      <c r="A862" t="s">
        <v>431</v>
      </c>
      <c r="B862" t="s">
        <v>432</v>
      </c>
      <c r="C862" s="1">
        <v>511</v>
      </c>
      <c r="G862" s="1">
        <v>5</v>
      </c>
      <c r="H862" s="1">
        <v>5</v>
      </c>
      <c r="I862" s="1">
        <v>0</v>
      </c>
      <c r="J862" s="1">
        <v>53</v>
      </c>
      <c r="K862" s="1">
        <v>0</v>
      </c>
      <c r="L862" s="1">
        <v>53</v>
      </c>
      <c r="M862" s="6">
        <f>(Table2[[#This Row],[Grand Total of Lead Service Lines Replaced]]/(Table2[[#This Row],[Total to be identified or replaced]]+Table2[[#This Row],[Grand Total of Lead Service Lines Replaced]]))</f>
        <v>8.6206896551724144E-2</v>
      </c>
      <c r="N862" s="1">
        <v>222</v>
      </c>
      <c r="O862" s="1">
        <v>275</v>
      </c>
      <c r="P862" t="s">
        <v>2778</v>
      </c>
      <c r="Q86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62" s="1" t="s">
        <v>2783</v>
      </c>
    </row>
    <row r="863" spans="1:18" x14ac:dyDescent="0.25">
      <c r="A863" t="s">
        <v>643</v>
      </c>
      <c r="B863" t="s">
        <v>644</v>
      </c>
      <c r="C863" s="1">
        <v>2126</v>
      </c>
      <c r="D863" s="1">
        <v>5</v>
      </c>
      <c r="F863" s="1">
        <v>7</v>
      </c>
      <c r="G863" s="1">
        <v>53</v>
      </c>
      <c r="H863" s="1">
        <v>65</v>
      </c>
      <c r="I863" s="1">
        <v>438</v>
      </c>
      <c r="J863" s="1">
        <v>250</v>
      </c>
      <c r="K863" s="1">
        <v>0</v>
      </c>
      <c r="L863" s="1">
        <v>688</v>
      </c>
      <c r="M863" s="6">
        <f>(Table2[[#This Row],[Grand Total of Lead Service Lines Replaced]]/(Table2[[#This Row],[Total to be identified or replaced]]+Table2[[#This Row],[Grand Total of Lead Service Lines Replaced]]))</f>
        <v>8.632138114209828E-2</v>
      </c>
      <c r="N863" s="1">
        <v>218</v>
      </c>
      <c r="O863" s="1">
        <v>906</v>
      </c>
      <c r="P863" t="s">
        <v>2778</v>
      </c>
      <c r="Q86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63" s="1" t="s">
        <v>2783</v>
      </c>
    </row>
    <row r="864" spans="1:18" x14ac:dyDescent="0.25">
      <c r="A864" t="s">
        <v>155</v>
      </c>
      <c r="B864" t="s">
        <v>156</v>
      </c>
      <c r="C864" s="1">
        <v>72</v>
      </c>
      <c r="I864" s="1" t="s">
        <v>16</v>
      </c>
      <c r="M864" s="6" t="s">
        <v>2784</v>
      </c>
      <c r="P864">
        <v>2025</v>
      </c>
      <c r="Q864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64" s="1" t="s">
        <v>2782</v>
      </c>
    </row>
    <row r="865" spans="1:18" x14ac:dyDescent="0.25">
      <c r="A865" t="s">
        <v>213</v>
      </c>
      <c r="B865" t="s">
        <v>214</v>
      </c>
      <c r="C865" s="1">
        <v>39</v>
      </c>
      <c r="I865" s="1" t="s">
        <v>16</v>
      </c>
      <c r="M865" s="6" t="s">
        <v>2784</v>
      </c>
      <c r="P865" t="s">
        <v>2778</v>
      </c>
      <c r="Q865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65" s="1" t="s">
        <v>2782</v>
      </c>
    </row>
    <row r="866" spans="1:18" x14ac:dyDescent="0.25">
      <c r="A866" t="s">
        <v>103</v>
      </c>
      <c r="B866" t="s">
        <v>104</v>
      </c>
      <c r="C866" s="1">
        <v>100</v>
      </c>
      <c r="I866" s="1" t="s">
        <v>16</v>
      </c>
      <c r="M866" s="6" t="s">
        <v>2784</v>
      </c>
      <c r="P866" t="s">
        <v>2778</v>
      </c>
      <c r="Q866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66" s="1" t="s">
        <v>2782</v>
      </c>
    </row>
    <row r="867" spans="1:18" x14ac:dyDescent="0.25">
      <c r="A867" t="s">
        <v>91</v>
      </c>
      <c r="B867" t="s">
        <v>92</v>
      </c>
      <c r="C867" s="1">
        <v>122</v>
      </c>
      <c r="I867" s="1" t="s">
        <v>16</v>
      </c>
      <c r="M867" s="6" t="s">
        <v>2784</v>
      </c>
      <c r="P867" t="s">
        <v>2778</v>
      </c>
      <c r="Q867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67" s="1" t="s">
        <v>2782</v>
      </c>
    </row>
    <row r="868" spans="1:18" x14ac:dyDescent="0.25">
      <c r="A868" t="s">
        <v>2057</v>
      </c>
      <c r="B868" t="s">
        <v>2058</v>
      </c>
      <c r="C868" s="1">
        <v>225</v>
      </c>
      <c r="I868" s="1">
        <v>0</v>
      </c>
      <c r="J868" s="1">
        <v>0</v>
      </c>
      <c r="L868" s="1">
        <v>0</v>
      </c>
      <c r="M868" s="6" t="s">
        <v>2784</v>
      </c>
      <c r="N868" s="1">
        <v>78</v>
      </c>
      <c r="O868" s="1">
        <v>78</v>
      </c>
      <c r="P868" t="s">
        <v>2778</v>
      </c>
      <c r="Q86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68" s="1" t="s">
        <v>2779</v>
      </c>
    </row>
    <row r="869" spans="1:18" x14ac:dyDescent="0.25">
      <c r="A869" t="s">
        <v>2059</v>
      </c>
      <c r="B869" t="s">
        <v>2060</v>
      </c>
      <c r="C869" s="1">
        <v>100</v>
      </c>
      <c r="L869" s="1">
        <v>0</v>
      </c>
      <c r="M869" s="6" t="s">
        <v>2784</v>
      </c>
      <c r="N869" s="1">
        <v>41</v>
      </c>
      <c r="O869" s="1">
        <v>41</v>
      </c>
      <c r="P869" t="s">
        <v>2778</v>
      </c>
      <c r="Q86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69" s="1" t="s">
        <v>2779</v>
      </c>
    </row>
    <row r="870" spans="1:18" x14ac:dyDescent="0.25">
      <c r="A870" t="s">
        <v>2063</v>
      </c>
      <c r="B870" t="s">
        <v>2064</v>
      </c>
      <c r="C870" s="1">
        <v>95</v>
      </c>
      <c r="I870" s="1">
        <v>0</v>
      </c>
      <c r="J870" s="1">
        <v>0</v>
      </c>
      <c r="K870" s="1">
        <v>0</v>
      </c>
      <c r="L870" s="1">
        <v>0</v>
      </c>
      <c r="M870" s="6" t="s">
        <v>2784</v>
      </c>
      <c r="N870" s="1">
        <v>68</v>
      </c>
      <c r="O870" s="1">
        <v>68</v>
      </c>
      <c r="P870" t="s">
        <v>2778</v>
      </c>
      <c r="Q87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70" s="1" t="s">
        <v>2779</v>
      </c>
    </row>
    <row r="871" spans="1:18" x14ac:dyDescent="0.25">
      <c r="A871" t="s">
        <v>2065</v>
      </c>
      <c r="B871" t="s">
        <v>2066</v>
      </c>
      <c r="C871" s="1">
        <v>444</v>
      </c>
      <c r="I871" s="1">
        <v>0</v>
      </c>
      <c r="J871" s="1">
        <v>0</v>
      </c>
      <c r="K871" s="1">
        <v>0</v>
      </c>
      <c r="L871" s="1">
        <v>0</v>
      </c>
      <c r="M871" s="6" t="s">
        <v>2784</v>
      </c>
      <c r="N871" s="1">
        <v>151</v>
      </c>
      <c r="O871" s="1">
        <v>151</v>
      </c>
      <c r="P871" t="s">
        <v>2778</v>
      </c>
      <c r="Q87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71" s="1" t="s">
        <v>2779</v>
      </c>
    </row>
    <row r="872" spans="1:18" x14ac:dyDescent="0.25">
      <c r="A872" t="s">
        <v>891</v>
      </c>
      <c r="B872" t="s">
        <v>892</v>
      </c>
      <c r="C872" s="1">
        <v>1587</v>
      </c>
      <c r="D872" s="1">
        <v>1</v>
      </c>
      <c r="E872" s="1">
        <v>5</v>
      </c>
      <c r="F872" s="1">
        <v>3</v>
      </c>
      <c r="G872" s="1">
        <v>21</v>
      </c>
      <c r="H872" s="1">
        <v>30</v>
      </c>
      <c r="I872" s="1">
        <v>121</v>
      </c>
      <c r="J872" s="1">
        <v>194</v>
      </c>
      <c r="L872" s="1">
        <v>315</v>
      </c>
      <c r="M872" s="6">
        <f>(Table2[[#This Row],[Grand Total of Lead Service Lines Replaced]]/(Table2[[#This Row],[Total to be identified or replaced]]+Table2[[#This Row],[Grand Total of Lead Service Lines Replaced]]))</f>
        <v>8.6956521739130432E-2</v>
      </c>
      <c r="N872" s="1">
        <v>331</v>
      </c>
      <c r="O872" s="1">
        <v>646</v>
      </c>
      <c r="P872" t="s">
        <v>2778</v>
      </c>
      <c r="Q87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72" s="1" t="s">
        <v>2783</v>
      </c>
    </row>
    <row r="873" spans="1:18" x14ac:dyDescent="0.25">
      <c r="A873" t="s">
        <v>321</v>
      </c>
      <c r="B873" t="s">
        <v>322</v>
      </c>
      <c r="C873" s="1">
        <v>8184</v>
      </c>
      <c r="D873" s="1">
        <v>95</v>
      </c>
      <c r="E873" s="1">
        <v>65</v>
      </c>
      <c r="F873" s="1">
        <v>68</v>
      </c>
      <c r="G873" s="1">
        <v>49</v>
      </c>
      <c r="H873" s="1">
        <v>277</v>
      </c>
      <c r="I873" s="1">
        <v>1</v>
      </c>
      <c r="J873" s="1">
        <v>1301</v>
      </c>
      <c r="K873" s="1">
        <v>1556</v>
      </c>
      <c r="L873" s="1">
        <v>2858</v>
      </c>
      <c r="M873" s="6">
        <f>(Table2[[#This Row],[Grand Total of Lead Service Lines Replaced]]/(Table2[[#This Row],[Total to be identified or replaced]]+Table2[[#This Row],[Grand Total of Lead Service Lines Replaced]]))</f>
        <v>8.8357256778309412E-2</v>
      </c>
      <c r="N873" s="1">
        <v>1095</v>
      </c>
      <c r="O873" s="1">
        <v>3953</v>
      </c>
      <c r="P873" t="s">
        <v>2778</v>
      </c>
      <c r="Q87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73" s="1" t="s">
        <v>2783</v>
      </c>
    </row>
    <row r="874" spans="1:18" x14ac:dyDescent="0.25">
      <c r="A874" t="s">
        <v>737</v>
      </c>
      <c r="B874" t="s">
        <v>738</v>
      </c>
      <c r="C874" s="1">
        <v>1900</v>
      </c>
      <c r="D874" s="1">
        <v>4</v>
      </c>
      <c r="E874" s="1">
        <v>4</v>
      </c>
      <c r="F874" s="1">
        <v>4</v>
      </c>
      <c r="G874" s="1">
        <v>34</v>
      </c>
      <c r="H874" s="1">
        <v>46</v>
      </c>
      <c r="I874" s="1">
        <v>201</v>
      </c>
      <c r="J874" s="1">
        <v>81</v>
      </c>
      <c r="K874" s="1">
        <v>192</v>
      </c>
      <c r="L874" s="1">
        <v>474</v>
      </c>
      <c r="M874" s="6">
        <f>(Table2[[#This Row],[Grand Total of Lead Service Lines Replaced]]/(Table2[[#This Row],[Total to be identified or replaced]]+Table2[[#This Row],[Grand Total of Lead Service Lines Replaced]]))</f>
        <v>8.8461538461538466E-2</v>
      </c>
      <c r="N874" s="1">
        <v>51</v>
      </c>
      <c r="O874" s="1">
        <v>525</v>
      </c>
      <c r="P874" t="s">
        <v>2778</v>
      </c>
      <c r="Q87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74" s="1" t="s">
        <v>2783</v>
      </c>
    </row>
    <row r="875" spans="1:18" x14ac:dyDescent="0.25">
      <c r="A875" t="s">
        <v>2073</v>
      </c>
      <c r="B875" t="s">
        <v>2074</v>
      </c>
      <c r="C875" s="1">
        <v>961</v>
      </c>
      <c r="I875" s="1">
        <v>0</v>
      </c>
      <c r="J875" s="1">
        <v>0</v>
      </c>
      <c r="K875" s="1">
        <v>0</v>
      </c>
      <c r="L875" s="1">
        <v>0</v>
      </c>
      <c r="M875" s="6" t="s">
        <v>2784</v>
      </c>
      <c r="N875" s="1">
        <v>484</v>
      </c>
      <c r="O875" s="1">
        <v>484</v>
      </c>
      <c r="P875" t="s">
        <v>2778</v>
      </c>
      <c r="Q87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75" s="1" t="s">
        <v>2779</v>
      </c>
    </row>
    <row r="876" spans="1:18" x14ac:dyDescent="0.25">
      <c r="A876" t="s">
        <v>163</v>
      </c>
      <c r="B876" t="s">
        <v>164</v>
      </c>
      <c r="C876" s="1">
        <v>65</v>
      </c>
      <c r="I876" s="1" t="s">
        <v>16</v>
      </c>
      <c r="M876" s="6" t="s">
        <v>2784</v>
      </c>
      <c r="P876" t="s">
        <v>2778</v>
      </c>
      <c r="Q876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76" s="1" t="s">
        <v>2782</v>
      </c>
    </row>
    <row r="877" spans="1:18" x14ac:dyDescent="0.25">
      <c r="A877" t="s">
        <v>2075</v>
      </c>
      <c r="B877" t="s">
        <v>2076</v>
      </c>
      <c r="C877" s="1">
        <v>95</v>
      </c>
      <c r="I877" s="1">
        <v>0</v>
      </c>
      <c r="J877" s="1">
        <v>0</v>
      </c>
      <c r="K877" s="1">
        <v>0</v>
      </c>
      <c r="L877" s="1">
        <v>0</v>
      </c>
      <c r="M877" s="6" t="s">
        <v>2784</v>
      </c>
      <c r="N877" s="1">
        <v>77</v>
      </c>
      <c r="O877" s="1">
        <v>77</v>
      </c>
      <c r="P877" t="s">
        <v>2778</v>
      </c>
      <c r="Q87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77" s="1" t="s">
        <v>2779</v>
      </c>
    </row>
    <row r="878" spans="1:18" x14ac:dyDescent="0.25">
      <c r="A878" t="s">
        <v>2770</v>
      </c>
      <c r="B878" t="s">
        <v>2771</v>
      </c>
      <c r="C878" s="1">
        <v>53988</v>
      </c>
      <c r="D878" s="1">
        <v>20</v>
      </c>
      <c r="E878" s="1">
        <v>67</v>
      </c>
      <c r="F878" s="1">
        <v>18</v>
      </c>
      <c r="G878" s="1">
        <v>22</v>
      </c>
      <c r="H878" s="1">
        <v>127</v>
      </c>
      <c r="I878" s="1">
        <v>155</v>
      </c>
      <c r="J878" s="1">
        <v>364</v>
      </c>
      <c r="K878" s="1">
        <v>758</v>
      </c>
      <c r="L878" s="1">
        <v>1277</v>
      </c>
      <c r="M878" s="6">
        <f>(Table2[[#This Row],[Grand Total of Lead Service Lines Replaced]]/(Table2[[#This Row],[Total to be identified or replaced]]+Table2[[#This Row],[Grand Total of Lead Service Lines Replaced]]))</f>
        <v>9.0455840455840458E-2</v>
      </c>
      <c r="N878" s="1">
        <v>19135</v>
      </c>
      <c r="O878" s="1">
        <v>20412</v>
      </c>
      <c r="P878" t="s">
        <v>2778</v>
      </c>
      <c r="Q87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78" s="1" t="s">
        <v>2783</v>
      </c>
    </row>
    <row r="879" spans="1:18" x14ac:dyDescent="0.25">
      <c r="A879" t="s">
        <v>2079</v>
      </c>
      <c r="B879" t="s">
        <v>2080</v>
      </c>
      <c r="C879" s="1">
        <v>1900</v>
      </c>
      <c r="I879" s="1">
        <v>0</v>
      </c>
      <c r="J879" s="1">
        <v>0</v>
      </c>
      <c r="K879" s="1">
        <v>0</v>
      </c>
      <c r="L879" s="1">
        <v>0</v>
      </c>
      <c r="M879" s="6" t="s">
        <v>2784</v>
      </c>
      <c r="N879" s="1">
        <v>1768</v>
      </c>
      <c r="O879" s="1">
        <v>1768</v>
      </c>
      <c r="P879" t="s">
        <v>2778</v>
      </c>
      <c r="Q8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79" s="1" t="s">
        <v>2779</v>
      </c>
    </row>
    <row r="880" spans="1:18" x14ac:dyDescent="0.25">
      <c r="A880" t="s">
        <v>769</v>
      </c>
      <c r="B880" t="s">
        <v>770</v>
      </c>
      <c r="C880" s="1">
        <v>1742</v>
      </c>
      <c r="D880" s="1">
        <v>42</v>
      </c>
      <c r="F880" s="1">
        <v>2</v>
      </c>
      <c r="H880" s="1">
        <v>44</v>
      </c>
      <c r="I880" s="1">
        <v>156</v>
      </c>
      <c r="J880" s="1">
        <v>286</v>
      </c>
      <c r="K880" s="1">
        <v>0</v>
      </c>
      <c r="L880" s="1">
        <v>442</v>
      </c>
      <c r="M880" s="6">
        <f>(Table2[[#This Row],[Grand Total of Lead Service Lines Replaced]]/(Table2[[#This Row],[Total to be identified or replaced]]+Table2[[#This Row],[Grand Total of Lead Service Lines Replaced]]))</f>
        <v>9.0534979423868317E-2</v>
      </c>
      <c r="N880" s="1">
        <v>232</v>
      </c>
      <c r="O880" s="1">
        <v>674</v>
      </c>
      <c r="P880" t="s">
        <v>2778</v>
      </c>
      <c r="Q88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80" s="1" t="s">
        <v>2783</v>
      </c>
    </row>
    <row r="881" spans="1:18" x14ac:dyDescent="0.25">
      <c r="A881" t="s">
        <v>2083</v>
      </c>
      <c r="B881" t="s">
        <v>2084</v>
      </c>
      <c r="C881" s="1">
        <v>5600</v>
      </c>
      <c r="L881" s="1">
        <v>0</v>
      </c>
      <c r="M881" s="6" t="s">
        <v>2784</v>
      </c>
      <c r="N881" s="1">
        <v>1648</v>
      </c>
      <c r="O881" s="1">
        <v>1648</v>
      </c>
      <c r="P881" t="s">
        <v>2778</v>
      </c>
      <c r="Q8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81" s="1" t="s">
        <v>2779</v>
      </c>
    </row>
    <row r="882" spans="1:18" x14ac:dyDescent="0.25">
      <c r="A882" t="s">
        <v>495</v>
      </c>
      <c r="B882" t="s">
        <v>496</v>
      </c>
      <c r="C882" s="1">
        <v>7500</v>
      </c>
      <c r="D882" s="1">
        <v>53</v>
      </c>
      <c r="E882" s="1">
        <v>10</v>
      </c>
      <c r="F882" s="1">
        <v>17</v>
      </c>
      <c r="G882" s="1">
        <v>46</v>
      </c>
      <c r="H882" s="1">
        <v>126</v>
      </c>
      <c r="I882" s="1">
        <v>923</v>
      </c>
      <c r="J882" s="1">
        <v>307</v>
      </c>
      <c r="K882" s="1">
        <v>31</v>
      </c>
      <c r="L882" s="1">
        <v>1261</v>
      </c>
      <c r="M882" s="6">
        <f>(Table2[[#This Row],[Grand Total of Lead Service Lines Replaced]]/(Table2[[#This Row],[Total to be identified or replaced]]+Table2[[#This Row],[Grand Total of Lead Service Lines Replaced]]))</f>
        <v>9.0843547224224941E-2</v>
      </c>
      <c r="N882" s="1">
        <v>2313</v>
      </c>
      <c r="O882" s="1">
        <v>3574</v>
      </c>
      <c r="P882" t="s">
        <v>2778</v>
      </c>
      <c r="Q88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82" s="1" t="s">
        <v>2783</v>
      </c>
    </row>
    <row r="883" spans="1:18" x14ac:dyDescent="0.25">
      <c r="A883" t="s">
        <v>333</v>
      </c>
      <c r="B883" t="s">
        <v>334</v>
      </c>
      <c r="C883" s="1">
        <v>38144</v>
      </c>
      <c r="D883" s="1">
        <v>75</v>
      </c>
      <c r="E883" s="1">
        <v>108</v>
      </c>
      <c r="F883" s="1">
        <v>79</v>
      </c>
      <c r="G883" s="1">
        <v>7</v>
      </c>
      <c r="H883" s="1">
        <v>269</v>
      </c>
      <c r="I883" s="1">
        <v>2647</v>
      </c>
      <c r="J883" s="1">
        <v>0</v>
      </c>
      <c r="K883" s="1">
        <v>0</v>
      </c>
      <c r="L883" s="1">
        <v>2647</v>
      </c>
      <c r="M883" s="6">
        <f>(Table2[[#This Row],[Grand Total of Lead Service Lines Replaced]]/(Table2[[#This Row],[Total to be identified or replaced]]+Table2[[#This Row],[Grand Total of Lead Service Lines Replaced]]))</f>
        <v>9.2249657064471885E-2</v>
      </c>
      <c r="N883" s="1">
        <v>12684</v>
      </c>
      <c r="O883" s="1">
        <v>15331</v>
      </c>
      <c r="P883" t="s">
        <v>2778</v>
      </c>
      <c r="Q88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83" s="1" t="s">
        <v>2783</v>
      </c>
    </row>
    <row r="884" spans="1:18" x14ac:dyDescent="0.25">
      <c r="A884" t="s">
        <v>2087</v>
      </c>
      <c r="B884" t="s">
        <v>2088</v>
      </c>
      <c r="C884" s="1">
        <v>1108</v>
      </c>
      <c r="I884" s="1">
        <v>0</v>
      </c>
      <c r="J884" s="1">
        <v>0</v>
      </c>
      <c r="K884" s="1">
        <v>0</v>
      </c>
      <c r="L884" s="1">
        <v>0</v>
      </c>
      <c r="M884" s="6" t="s">
        <v>2784</v>
      </c>
      <c r="N884" s="1">
        <v>31</v>
      </c>
      <c r="O884" s="1">
        <v>31</v>
      </c>
      <c r="P884" t="s">
        <v>2778</v>
      </c>
      <c r="Q88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84" s="1" t="s">
        <v>2779</v>
      </c>
    </row>
    <row r="885" spans="1:18" x14ac:dyDescent="0.25">
      <c r="A885" t="s">
        <v>1176</v>
      </c>
      <c r="B885" t="s">
        <v>1177</v>
      </c>
      <c r="C885" s="1">
        <v>2065</v>
      </c>
      <c r="D885" s="1">
        <v>2</v>
      </c>
      <c r="E885" s="1">
        <v>1</v>
      </c>
      <c r="F885" s="1">
        <v>6</v>
      </c>
      <c r="G885" s="1">
        <v>6</v>
      </c>
      <c r="H885" s="1">
        <v>15</v>
      </c>
      <c r="J885" s="1">
        <v>137</v>
      </c>
      <c r="K885" s="1">
        <v>8</v>
      </c>
      <c r="L885" s="1">
        <v>145</v>
      </c>
      <c r="M885" s="6">
        <f>(Table2[[#This Row],[Grand Total of Lead Service Lines Replaced]]/(Table2[[#This Row],[Total to be identified or replaced]]+Table2[[#This Row],[Grand Total of Lead Service Lines Replaced]]))</f>
        <v>9.375E-2</v>
      </c>
      <c r="N885" s="1">
        <v>682</v>
      </c>
      <c r="O885" s="1">
        <v>827</v>
      </c>
      <c r="P885" t="s">
        <v>2778</v>
      </c>
      <c r="Q88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85" s="1" t="s">
        <v>2783</v>
      </c>
    </row>
    <row r="886" spans="1:18" x14ac:dyDescent="0.25">
      <c r="A886" t="s">
        <v>111</v>
      </c>
      <c r="B886" t="s">
        <v>112</v>
      </c>
      <c r="C886" s="1">
        <v>633218</v>
      </c>
      <c r="D886" s="1">
        <v>204</v>
      </c>
      <c r="E886" s="1">
        <v>2122</v>
      </c>
      <c r="F886" s="1">
        <v>2827</v>
      </c>
      <c r="G886" s="1">
        <v>7468</v>
      </c>
      <c r="H886" s="1">
        <v>12621</v>
      </c>
      <c r="I886" s="1">
        <v>80595</v>
      </c>
      <c r="J886" s="1">
        <v>120</v>
      </c>
      <c r="K886" s="1">
        <v>39073</v>
      </c>
      <c r="L886" s="1">
        <v>119788</v>
      </c>
      <c r="M886" s="6">
        <f>(Table2[[#This Row],[Grand Total of Lead Service Lines Replaced]]/(Table2[[#This Row],[Total to be identified or replaced]]+Table2[[#This Row],[Grand Total of Lead Service Lines Replaced]]))</f>
        <v>9.5318294073665683E-2</v>
      </c>
      <c r="N886" s="1">
        <v>131743</v>
      </c>
      <c r="O886" s="1">
        <v>251531</v>
      </c>
      <c r="P886" t="s">
        <v>2778</v>
      </c>
      <c r="Q88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86" s="1" t="s">
        <v>2783</v>
      </c>
    </row>
    <row r="887" spans="1:18" x14ac:dyDescent="0.25">
      <c r="A887" t="s">
        <v>2091</v>
      </c>
      <c r="B887" t="s">
        <v>2092</v>
      </c>
      <c r="C887" s="1">
        <v>2270</v>
      </c>
      <c r="I887" s="1">
        <v>0</v>
      </c>
      <c r="J887" s="1">
        <v>0</v>
      </c>
      <c r="K887" s="1">
        <v>0</v>
      </c>
      <c r="L887" s="1">
        <v>0</v>
      </c>
      <c r="M887" s="6" t="s">
        <v>2784</v>
      </c>
      <c r="N887" s="1">
        <v>689</v>
      </c>
      <c r="O887" s="1">
        <v>689</v>
      </c>
      <c r="P887" t="s">
        <v>2778</v>
      </c>
      <c r="Q88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87" s="1" t="s">
        <v>2779</v>
      </c>
    </row>
    <row r="888" spans="1:18" x14ac:dyDescent="0.25">
      <c r="A888" t="s">
        <v>2093</v>
      </c>
      <c r="B888" t="s">
        <v>2094</v>
      </c>
      <c r="C888" s="1">
        <v>50</v>
      </c>
      <c r="I888" s="1">
        <v>0</v>
      </c>
      <c r="J888" s="1">
        <v>0</v>
      </c>
      <c r="K888" s="1">
        <v>0</v>
      </c>
      <c r="L888" s="1">
        <v>0</v>
      </c>
      <c r="M888" s="6" t="s">
        <v>2784</v>
      </c>
      <c r="N888" s="1">
        <v>10</v>
      </c>
      <c r="O888" s="1">
        <v>10</v>
      </c>
      <c r="P888" t="s">
        <v>2778</v>
      </c>
      <c r="Q88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88" s="1" t="s">
        <v>2779</v>
      </c>
    </row>
    <row r="889" spans="1:18" x14ac:dyDescent="0.25">
      <c r="A889" t="s">
        <v>2095</v>
      </c>
      <c r="B889" t="s">
        <v>2096</v>
      </c>
      <c r="C889" s="1">
        <v>235</v>
      </c>
      <c r="L889" s="1">
        <v>0</v>
      </c>
      <c r="M889" s="6" t="s">
        <v>2784</v>
      </c>
      <c r="N889" s="1">
        <v>20</v>
      </c>
      <c r="O889" s="1">
        <v>20</v>
      </c>
      <c r="P889" t="s">
        <v>2778</v>
      </c>
      <c r="Q88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89" s="1" t="s">
        <v>2779</v>
      </c>
    </row>
    <row r="890" spans="1:18" x14ac:dyDescent="0.25">
      <c r="A890" t="s">
        <v>1342</v>
      </c>
      <c r="B890" t="s">
        <v>1343</v>
      </c>
      <c r="C890" s="1">
        <v>376</v>
      </c>
      <c r="G890" s="1">
        <v>7</v>
      </c>
      <c r="H890" s="1">
        <v>7</v>
      </c>
      <c r="I890" s="1">
        <v>7</v>
      </c>
      <c r="J890" s="1">
        <v>14</v>
      </c>
      <c r="K890" s="1">
        <v>44</v>
      </c>
      <c r="L890" s="1">
        <v>65</v>
      </c>
      <c r="M890" s="6">
        <f>(Table2[[#This Row],[Grand Total of Lead Service Lines Replaced]]/(Table2[[#This Row],[Total to be identified or replaced]]+Table2[[#This Row],[Grand Total of Lead Service Lines Replaced]]))</f>
        <v>9.7222222222222224E-2</v>
      </c>
      <c r="N890" s="1">
        <v>117</v>
      </c>
      <c r="O890" s="1">
        <v>182</v>
      </c>
      <c r="P890" t="s">
        <v>2778</v>
      </c>
      <c r="Q89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90" s="1" t="s">
        <v>2783</v>
      </c>
    </row>
    <row r="891" spans="1:18" x14ac:dyDescent="0.25">
      <c r="A891" t="s">
        <v>209</v>
      </c>
      <c r="B891" t="s">
        <v>210</v>
      </c>
      <c r="C891" s="1">
        <v>945</v>
      </c>
      <c r="L891" s="1">
        <v>0</v>
      </c>
      <c r="M891" s="6" t="s">
        <v>2784</v>
      </c>
      <c r="N891" s="1">
        <v>582</v>
      </c>
      <c r="P891" t="s">
        <v>2778</v>
      </c>
      <c r="Q891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891" s="1" t="s">
        <v>2782</v>
      </c>
    </row>
    <row r="892" spans="1:18" x14ac:dyDescent="0.25">
      <c r="A892" t="s">
        <v>203</v>
      </c>
      <c r="B892" t="s">
        <v>204</v>
      </c>
      <c r="C892" s="1">
        <v>109976</v>
      </c>
      <c r="D892" s="1">
        <v>328</v>
      </c>
      <c r="F892" s="1">
        <v>389</v>
      </c>
      <c r="G892" s="1">
        <v>358</v>
      </c>
      <c r="H892" s="1">
        <v>1075</v>
      </c>
      <c r="I892" s="1">
        <v>7306</v>
      </c>
      <c r="J892" s="1">
        <v>0</v>
      </c>
      <c r="K892" s="1">
        <v>2420</v>
      </c>
      <c r="L892" s="1">
        <v>9726</v>
      </c>
      <c r="M892" s="6">
        <f>(Table2[[#This Row],[Grand Total of Lead Service Lines Replaced]]/(Table2[[#This Row],[Total to be identified or replaced]]+Table2[[#This Row],[Grand Total of Lead Service Lines Replaced]]))</f>
        <v>9.9527821498009442E-2</v>
      </c>
      <c r="N892" s="1">
        <v>22998</v>
      </c>
      <c r="O892" s="1">
        <v>32724</v>
      </c>
      <c r="P892" t="s">
        <v>2778</v>
      </c>
      <c r="Q89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92" s="1" t="s">
        <v>2783</v>
      </c>
    </row>
    <row r="893" spans="1:18" x14ac:dyDescent="0.25">
      <c r="A893" t="s">
        <v>409</v>
      </c>
      <c r="B893" t="s">
        <v>410</v>
      </c>
      <c r="C893" s="1">
        <v>1086</v>
      </c>
      <c r="D893" s="1">
        <v>16</v>
      </c>
      <c r="E893" s="1">
        <v>16</v>
      </c>
      <c r="F893" s="1">
        <v>6</v>
      </c>
      <c r="G893" s="1">
        <v>4</v>
      </c>
      <c r="H893" s="1">
        <v>42</v>
      </c>
      <c r="I893" s="1">
        <v>361</v>
      </c>
      <c r="J893" s="1">
        <v>10</v>
      </c>
      <c r="L893" s="1">
        <v>371</v>
      </c>
      <c r="M893" s="6">
        <f>(Table2[[#This Row],[Grand Total of Lead Service Lines Replaced]]/(Table2[[#This Row],[Total to be identified or replaced]]+Table2[[#This Row],[Grand Total of Lead Service Lines Replaced]]))</f>
        <v>0.10169491525423729</v>
      </c>
      <c r="N893" s="1">
        <v>218</v>
      </c>
      <c r="O893" s="1">
        <v>589</v>
      </c>
      <c r="P893" t="s">
        <v>2778</v>
      </c>
      <c r="Q89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893" s="1" t="s">
        <v>2783</v>
      </c>
    </row>
    <row r="894" spans="1:18" x14ac:dyDescent="0.25">
      <c r="A894" t="s">
        <v>2097</v>
      </c>
      <c r="B894" t="s">
        <v>2098</v>
      </c>
      <c r="C894" s="1">
        <v>68</v>
      </c>
      <c r="I894" s="1">
        <v>0</v>
      </c>
      <c r="J894" s="1">
        <v>0</v>
      </c>
      <c r="K894" s="1">
        <v>0</v>
      </c>
      <c r="L894" s="1">
        <v>0</v>
      </c>
      <c r="M894" s="6" t="s">
        <v>2784</v>
      </c>
      <c r="N894" s="1">
        <v>32</v>
      </c>
      <c r="O894" s="1">
        <v>32</v>
      </c>
      <c r="P894" t="s">
        <v>2778</v>
      </c>
      <c r="Q89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94" s="1" t="s">
        <v>2779</v>
      </c>
    </row>
    <row r="895" spans="1:18" x14ac:dyDescent="0.25">
      <c r="A895" t="s">
        <v>2099</v>
      </c>
      <c r="B895" t="s">
        <v>2100</v>
      </c>
      <c r="C895" s="1">
        <v>71</v>
      </c>
      <c r="L895" s="1">
        <v>0</v>
      </c>
      <c r="M895" s="6" t="s">
        <v>2784</v>
      </c>
      <c r="N895" s="1">
        <v>3</v>
      </c>
      <c r="O895" s="1">
        <v>3</v>
      </c>
      <c r="P895" t="s">
        <v>2778</v>
      </c>
      <c r="Q89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95" s="1" t="s">
        <v>2779</v>
      </c>
    </row>
    <row r="896" spans="1:18" x14ac:dyDescent="0.25">
      <c r="A896" t="s">
        <v>2103</v>
      </c>
      <c r="B896" t="s">
        <v>2104</v>
      </c>
      <c r="C896" s="1">
        <v>53</v>
      </c>
      <c r="I896" s="1">
        <v>0</v>
      </c>
      <c r="J896" s="1">
        <v>0</v>
      </c>
      <c r="K896" s="1">
        <v>0</v>
      </c>
      <c r="L896" s="1">
        <v>0</v>
      </c>
      <c r="M896" s="6" t="s">
        <v>2784</v>
      </c>
      <c r="N896" s="1">
        <v>41</v>
      </c>
      <c r="O896" s="1">
        <v>41</v>
      </c>
      <c r="P896" t="s">
        <v>2778</v>
      </c>
      <c r="Q89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96" s="1" t="s">
        <v>2779</v>
      </c>
    </row>
    <row r="897" spans="1:18" x14ac:dyDescent="0.25">
      <c r="A897" t="s">
        <v>821</v>
      </c>
      <c r="B897" t="s">
        <v>822</v>
      </c>
      <c r="C897" s="1">
        <v>80</v>
      </c>
      <c r="I897" s="1">
        <v>0</v>
      </c>
      <c r="J897" s="1">
        <v>0</v>
      </c>
      <c r="K897" s="1">
        <v>0</v>
      </c>
      <c r="L897" s="1">
        <v>0</v>
      </c>
      <c r="M897" s="6" t="s">
        <v>2784</v>
      </c>
      <c r="N897" s="1">
        <v>40</v>
      </c>
      <c r="O897" s="1">
        <v>40</v>
      </c>
      <c r="P897">
        <v>2025</v>
      </c>
      <c r="Q89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97" s="1" t="s">
        <v>2779</v>
      </c>
    </row>
    <row r="898" spans="1:18" x14ac:dyDescent="0.25">
      <c r="A898" t="s">
        <v>2107</v>
      </c>
      <c r="B898" t="s">
        <v>2108</v>
      </c>
      <c r="C898" s="1">
        <v>1620</v>
      </c>
      <c r="I898" s="1">
        <v>0</v>
      </c>
      <c r="J898" s="1">
        <v>0</v>
      </c>
      <c r="K898" s="1">
        <v>0</v>
      </c>
      <c r="L898" s="1">
        <v>0</v>
      </c>
      <c r="M898" s="6" t="s">
        <v>2784</v>
      </c>
      <c r="N898" s="1">
        <v>643</v>
      </c>
      <c r="O898" s="1">
        <v>643</v>
      </c>
      <c r="P898" t="s">
        <v>2778</v>
      </c>
      <c r="Q89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98" s="1" t="s">
        <v>2779</v>
      </c>
    </row>
    <row r="899" spans="1:18" x14ac:dyDescent="0.25">
      <c r="A899" t="s">
        <v>2109</v>
      </c>
      <c r="B899" t="s">
        <v>2110</v>
      </c>
      <c r="C899" s="1">
        <v>240</v>
      </c>
      <c r="I899" s="1">
        <v>0</v>
      </c>
      <c r="J899" s="1">
        <v>0</v>
      </c>
      <c r="K899" s="1">
        <v>0</v>
      </c>
      <c r="L899" s="1">
        <v>0</v>
      </c>
      <c r="M899" s="6" t="s">
        <v>2784</v>
      </c>
      <c r="N899" s="1">
        <v>94</v>
      </c>
      <c r="O899" s="1">
        <v>94</v>
      </c>
      <c r="P899" t="s">
        <v>2778</v>
      </c>
      <c r="Q8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899" s="1" t="s">
        <v>2779</v>
      </c>
    </row>
    <row r="900" spans="1:18" x14ac:dyDescent="0.25">
      <c r="A900" t="s">
        <v>967</v>
      </c>
      <c r="B900" t="s">
        <v>968</v>
      </c>
      <c r="C900" s="1">
        <v>29694</v>
      </c>
      <c r="D900" s="1">
        <v>8</v>
      </c>
      <c r="E900" s="1">
        <v>7</v>
      </c>
      <c r="F900" s="1">
        <v>7</v>
      </c>
      <c r="G900" s="1">
        <v>6</v>
      </c>
      <c r="H900" s="1">
        <v>28</v>
      </c>
      <c r="I900" s="1">
        <v>232</v>
      </c>
      <c r="J900" s="1">
        <v>0</v>
      </c>
      <c r="K900" s="1">
        <v>15</v>
      </c>
      <c r="L900" s="1">
        <v>247</v>
      </c>
      <c r="M900" s="6">
        <f>(Table2[[#This Row],[Grand Total of Lead Service Lines Replaced]]/(Table2[[#This Row],[Total to be identified or replaced]]+Table2[[#This Row],[Grand Total of Lead Service Lines Replaced]]))</f>
        <v>0.10181818181818182</v>
      </c>
      <c r="N900" s="1">
        <v>11202</v>
      </c>
      <c r="O900" s="1">
        <v>11449</v>
      </c>
      <c r="P900">
        <v>2025</v>
      </c>
      <c r="Q90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00" s="1" t="s">
        <v>2783</v>
      </c>
    </row>
    <row r="901" spans="1:18" x14ac:dyDescent="0.25">
      <c r="A901" t="s">
        <v>687</v>
      </c>
      <c r="B901" t="s">
        <v>688</v>
      </c>
      <c r="C901" s="1">
        <v>4150</v>
      </c>
      <c r="D901" s="1">
        <v>3</v>
      </c>
      <c r="E901" s="1">
        <v>3</v>
      </c>
      <c r="F901" s="1">
        <v>29</v>
      </c>
      <c r="G901" s="1">
        <v>32</v>
      </c>
      <c r="H901" s="1">
        <v>67</v>
      </c>
      <c r="I901" s="1">
        <v>11</v>
      </c>
      <c r="J901" s="1">
        <v>69</v>
      </c>
      <c r="K901" s="1">
        <v>509</v>
      </c>
      <c r="L901" s="1">
        <v>589</v>
      </c>
      <c r="M901" s="6">
        <f>(Table2[[#This Row],[Grand Total of Lead Service Lines Replaced]]/(Table2[[#This Row],[Total to be identified or replaced]]+Table2[[#This Row],[Grand Total of Lead Service Lines Replaced]]))</f>
        <v>0.10213414634146341</v>
      </c>
      <c r="N901" s="1">
        <v>805</v>
      </c>
      <c r="O901" s="1">
        <v>1394</v>
      </c>
      <c r="P901" t="s">
        <v>2778</v>
      </c>
      <c r="Q90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01" s="1" t="s">
        <v>2783</v>
      </c>
    </row>
    <row r="902" spans="1:18" x14ac:dyDescent="0.25">
      <c r="A902" t="s">
        <v>2111</v>
      </c>
      <c r="B902" t="s">
        <v>2112</v>
      </c>
      <c r="C902" s="1">
        <v>1890</v>
      </c>
      <c r="I902" s="1">
        <v>0</v>
      </c>
      <c r="J902" s="1">
        <v>0</v>
      </c>
      <c r="L902" s="1">
        <v>0</v>
      </c>
      <c r="M902" s="6" t="s">
        <v>2784</v>
      </c>
      <c r="N902" s="1">
        <v>756</v>
      </c>
      <c r="O902" s="1">
        <v>756</v>
      </c>
      <c r="P902" t="s">
        <v>2778</v>
      </c>
      <c r="Q90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02" s="1" t="s">
        <v>2779</v>
      </c>
    </row>
    <row r="903" spans="1:18" x14ac:dyDescent="0.25">
      <c r="A903" t="s">
        <v>2113</v>
      </c>
      <c r="B903" t="s">
        <v>2114</v>
      </c>
      <c r="C903" s="1">
        <v>32103</v>
      </c>
      <c r="I903" s="1">
        <v>0</v>
      </c>
      <c r="J903" s="1">
        <v>0</v>
      </c>
      <c r="K903" s="1">
        <v>0</v>
      </c>
      <c r="L903" s="1">
        <v>0</v>
      </c>
      <c r="M903" s="6" t="s">
        <v>2784</v>
      </c>
      <c r="N903" s="1">
        <v>8975</v>
      </c>
      <c r="O903" s="1">
        <v>8975</v>
      </c>
      <c r="P903" t="s">
        <v>2778</v>
      </c>
      <c r="Q90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03" s="1" t="s">
        <v>2779</v>
      </c>
    </row>
    <row r="904" spans="1:18" x14ac:dyDescent="0.25">
      <c r="A904" t="s">
        <v>347</v>
      </c>
      <c r="B904" t="s">
        <v>348</v>
      </c>
      <c r="C904" s="1">
        <v>25</v>
      </c>
      <c r="J904" s="1">
        <v>0</v>
      </c>
      <c r="L904" s="1">
        <v>0</v>
      </c>
      <c r="M904" s="6" t="s">
        <v>2784</v>
      </c>
      <c r="N904" s="1">
        <v>17</v>
      </c>
      <c r="P904" t="s">
        <v>2778</v>
      </c>
      <c r="Q904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904" s="1" t="s">
        <v>2782</v>
      </c>
    </row>
    <row r="905" spans="1:18" x14ac:dyDescent="0.25">
      <c r="A905" t="s">
        <v>2115</v>
      </c>
      <c r="B905" t="s">
        <v>2116</v>
      </c>
      <c r="C905" s="1">
        <v>238</v>
      </c>
      <c r="I905" s="1">
        <v>0</v>
      </c>
      <c r="J905" s="1">
        <v>0</v>
      </c>
      <c r="K905" s="1">
        <v>0</v>
      </c>
      <c r="L905" s="1">
        <v>0</v>
      </c>
      <c r="M905" s="6" t="s">
        <v>2784</v>
      </c>
      <c r="N905" s="1">
        <v>97</v>
      </c>
      <c r="O905" s="1">
        <v>97</v>
      </c>
      <c r="P905" t="s">
        <v>2778</v>
      </c>
      <c r="Q90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05" s="1" t="s">
        <v>2779</v>
      </c>
    </row>
    <row r="906" spans="1:18" x14ac:dyDescent="0.25">
      <c r="A906" t="s">
        <v>317</v>
      </c>
      <c r="B906" t="s">
        <v>318</v>
      </c>
      <c r="C906" s="1">
        <v>49687</v>
      </c>
      <c r="D906" s="1">
        <v>71</v>
      </c>
      <c r="E906" s="1">
        <v>113</v>
      </c>
      <c r="F906" s="1">
        <v>118</v>
      </c>
      <c r="G906" s="1">
        <v>86</v>
      </c>
      <c r="H906" s="1">
        <v>388</v>
      </c>
      <c r="I906" s="1">
        <v>1728</v>
      </c>
      <c r="J906" s="1">
        <v>1468</v>
      </c>
      <c r="K906" s="1">
        <v>202</v>
      </c>
      <c r="L906" s="1">
        <v>3398</v>
      </c>
      <c r="M906" s="6">
        <f>(Table2[[#This Row],[Grand Total of Lead Service Lines Replaced]]/(Table2[[#This Row],[Total to be identified or replaced]]+Table2[[#This Row],[Grand Total of Lead Service Lines Replaced]]))</f>
        <v>0.10248283148441627</v>
      </c>
      <c r="N906" s="1">
        <v>14226</v>
      </c>
      <c r="O906" s="1">
        <v>17624</v>
      </c>
      <c r="P906" t="s">
        <v>2778</v>
      </c>
      <c r="Q90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06" s="1" t="s">
        <v>2783</v>
      </c>
    </row>
    <row r="907" spans="1:18" x14ac:dyDescent="0.25">
      <c r="A907" t="s">
        <v>511</v>
      </c>
      <c r="B907" t="s">
        <v>512</v>
      </c>
      <c r="C907" s="1">
        <v>3786</v>
      </c>
      <c r="D907" s="1">
        <v>42</v>
      </c>
      <c r="E907" s="1">
        <v>54</v>
      </c>
      <c r="F907" s="1">
        <v>22</v>
      </c>
      <c r="G907" s="1">
        <v>16</v>
      </c>
      <c r="H907" s="1">
        <v>134</v>
      </c>
      <c r="I907" s="1">
        <v>692</v>
      </c>
      <c r="J907" s="1">
        <v>461</v>
      </c>
      <c r="K907" s="1">
        <v>0</v>
      </c>
      <c r="L907" s="1">
        <v>1153</v>
      </c>
      <c r="M907" s="6">
        <f>(Table2[[#This Row],[Grand Total of Lead Service Lines Replaced]]/(Table2[[#This Row],[Total to be identified or replaced]]+Table2[[#This Row],[Grand Total of Lead Service Lines Replaced]]))</f>
        <v>0.10411810411810411</v>
      </c>
      <c r="N907" s="1">
        <v>479</v>
      </c>
      <c r="O907" s="1">
        <v>1632</v>
      </c>
      <c r="P907" t="s">
        <v>2778</v>
      </c>
      <c r="Q90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07" s="1" t="s">
        <v>2783</v>
      </c>
    </row>
    <row r="908" spans="1:18" x14ac:dyDescent="0.25">
      <c r="A908" t="s">
        <v>2117</v>
      </c>
      <c r="B908" t="s">
        <v>2118</v>
      </c>
      <c r="C908" s="1">
        <v>185</v>
      </c>
      <c r="I908" s="1">
        <v>0</v>
      </c>
      <c r="J908" s="1">
        <v>0</v>
      </c>
      <c r="K908" s="1">
        <v>0</v>
      </c>
      <c r="L908" s="1">
        <v>0</v>
      </c>
      <c r="M908" s="6" t="s">
        <v>2784</v>
      </c>
      <c r="N908" s="1">
        <v>74</v>
      </c>
      <c r="O908" s="1">
        <v>74</v>
      </c>
      <c r="P908" t="s">
        <v>2778</v>
      </c>
      <c r="Q90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08" s="1" t="s">
        <v>2779</v>
      </c>
    </row>
    <row r="909" spans="1:18" x14ac:dyDescent="0.25">
      <c r="A909" t="s">
        <v>777</v>
      </c>
      <c r="B909" t="s">
        <v>778</v>
      </c>
      <c r="C909" s="1">
        <v>2258</v>
      </c>
      <c r="D909" s="1">
        <v>2</v>
      </c>
      <c r="E909" s="1">
        <v>1</v>
      </c>
      <c r="F909" s="1">
        <v>27</v>
      </c>
      <c r="G909" s="1">
        <v>23</v>
      </c>
      <c r="H909" s="1">
        <v>53</v>
      </c>
      <c r="I909" s="1">
        <v>0</v>
      </c>
      <c r="J909" s="1">
        <v>230</v>
      </c>
      <c r="K909" s="1">
        <v>204</v>
      </c>
      <c r="L909" s="1">
        <v>434</v>
      </c>
      <c r="M909" s="6">
        <f>(Table2[[#This Row],[Grand Total of Lead Service Lines Replaced]]/(Table2[[#This Row],[Total to be identified or replaced]]+Table2[[#This Row],[Grand Total of Lead Service Lines Replaced]]))</f>
        <v>0.10882956878850103</v>
      </c>
      <c r="N909" s="1">
        <v>444</v>
      </c>
      <c r="O909" s="1">
        <v>878</v>
      </c>
      <c r="P909" t="s">
        <v>2778</v>
      </c>
      <c r="Q90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09" s="1" t="s">
        <v>2783</v>
      </c>
    </row>
    <row r="910" spans="1:18" x14ac:dyDescent="0.25">
      <c r="A910" t="s">
        <v>2119</v>
      </c>
      <c r="B910" t="s">
        <v>2120</v>
      </c>
      <c r="C910" s="1">
        <v>170</v>
      </c>
      <c r="I910" s="1">
        <v>0</v>
      </c>
      <c r="J910" s="1">
        <v>0</v>
      </c>
      <c r="K910" s="1">
        <v>0</v>
      </c>
      <c r="L910" s="1">
        <v>0</v>
      </c>
      <c r="M910" s="6" t="s">
        <v>2784</v>
      </c>
      <c r="N910" s="1">
        <v>63</v>
      </c>
      <c r="O910" s="1">
        <v>63</v>
      </c>
      <c r="P910" t="s">
        <v>2778</v>
      </c>
      <c r="Q91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10" s="1" t="s">
        <v>2779</v>
      </c>
    </row>
    <row r="911" spans="1:18" x14ac:dyDescent="0.25">
      <c r="A911" t="s">
        <v>2123</v>
      </c>
      <c r="B911" t="s">
        <v>2124</v>
      </c>
      <c r="C911" s="1">
        <v>245</v>
      </c>
      <c r="I911" s="1">
        <v>0</v>
      </c>
      <c r="J911" s="1">
        <v>0</v>
      </c>
      <c r="K911" s="1">
        <v>0</v>
      </c>
      <c r="L911" s="1">
        <v>0</v>
      </c>
      <c r="M911" s="6" t="s">
        <v>2784</v>
      </c>
      <c r="N911" s="1">
        <v>134</v>
      </c>
      <c r="O911" s="1">
        <v>134</v>
      </c>
      <c r="P911" t="s">
        <v>2778</v>
      </c>
      <c r="Q91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11" s="1" t="s">
        <v>2779</v>
      </c>
    </row>
    <row r="912" spans="1:18" x14ac:dyDescent="0.25">
      <c r="A912" t="s">
        <v>2125</v>
      </c>
      <c r="B912" t="s">
        <v>2126</v>
      </c>
      <c r="C912" s="1">
        <v>30</v>
      </c>
      <c r="I912" s="1">
        <v>0</v>
      </c>
      <c r="J912" s="1">
        <v>0</v>
      </c>
      <c r="K912" s="1">
        <v>0</v>
      </c>
      <c r="L912" s="1">
        <v>0</v>
      </c>
      <c r="M912" s="6" t="s">
        <v>2784</v>
      </c>
      <c r="N912" s="1">
        <v>19</v>
      </c>
      <c r="O912" s="1">
        <v>19</v>
      </c>
      <c r="P912" t="s">
        <v>2778</v>
      </c>
      <c r="Q91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12" s="1" t="s">
        <v>2779</v>
      </c>
    </row>
    <row r="913" spans="1:18" x14ac:dyDescent="0.25">
      <c r="A913" t="s">
        <v>2127</v>
      </c>
      <c r="B913" t="s">
        <v>2128</v>
      </c>
      <c r="C913" s="1">
        <v>1260</v>
      </c>
      <c r="I913" s="1">
        <v>0</v>
      </c>
      <c r="J913" s="1">
        <v>0</v>
      </c>
      <c r="K913" s="1">
        <v>0</v>
      </c>
      <c r="L913" s="1">
        <v>0</v>
      </c>
      <c r="M913" s="6" t="s">
        <v>2784</v>
      </c>
      <c r="N913" s="1">
        <v>468</v>
      </c>
      <c r="O913" s="1">
        <v>468</v>
      </c>
      <c r="P913" t="s">
        <v>2778</v>
      </c>
      <c r="Q91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13" s="1" t="s">
        <v>2779</v>
      </c>
    </row>
    <row r="914" spans="1:18" x14ac:dyDescent="0.25">
      <c r="A914" t="s">
        <v>2129</v>
      </c>
      <c r="B914" t="s">
        <v>2130</v>
      </c>
      <c r="C914" s="1">
        <v>60</v>
      </c>
      <c r="I914" s="1">
        <v>0</v>
      </c>
      <c r="J914" s="1">
        <v>0</v>
      </c>
      <c r="K914" s="1">
        <v>0</v>
      </c>
      <c r="L914" s="1">
        <v>0</v>
      </c>
      <c r="M914" s="6" t="s">
        <v>2784</v>
      </c>
      <c r="N914" s="1">
        <v>2</v>
      </c>
      <c r="O914" s="1">
        <v>2</v>
      </c>
      <c r="P914" t="s">
        <v>2778</v>
      </c>
      <c r="Q91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14" s="1" t="s">
        <v>2779</v>
      </c>
    </row>
    <row r="915" spans="1:18" x14ac:dyDescent="0.25">
      <c r="A915" t="s">
        <v>2131</v>
      </c>
      <c r="B915" t="s">
        <v>2132</v>
      </c>
      <c r="C915" s="1">
        <v>36</v>
      </c>
      <c r="I915" s="1">
        <v>0</v>
      </c>
      <c r="J915" s="1">
        <v>0</v>
      </c>
      <c r="K915" s="1">
        <v>0</v>
      </c>
      <c r="L915" s="1">
        <v>0</v>
      </c>
      <c r="M915" s="6" t="s">
        <v>2784</v>
      </c>
      <c r="N915" s="1">
        <v>3</v>
      </c>
      <c r="O915" s="1">
        <v>3</v>
      </c>
      <c r="P915" t="s">
        <v>2778</v>
      </c>
      <c r="Q9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15" s="1" t="s">
        <v>2779</v>
      </c>
    </row>
    <row r="916" spans="1:18" x14ac:dyDescent="0.25">
      <c r="A916" t="s">
        <v>1076</v>
      </c>
      <c r="B916" t="s">
        <v>1077</v>
      </c>
      <c r="C916" s="1">
        <v>70</v>
      </c>
      <c r="L916" s="1">
        <v>0</v>
      </c>
      <c r="M916" s="6" t="s">
        <v>2784</v>
      </c>
      <c r="P916" t="s">
        <v>2778</v>
      </c>
      <c r="Q916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916" s="1" t="s">
        <v>2782</v>
      </c>
    </row>
    <row r="917" spans="1:18" x14ac:dyDescent="0.25">
      <c r="A917" t="s">
        <v>1414</v>
      </c>
      <c r="B917" t="s">
        <v>1415</v>
      </c>
      <c r="C917" s="1">
        <v>1900</v>
      </c>
      <c r="I917" s="1">
        <v>0</v>
      </c>
      <c r="J917" s="1">
        <v>0</v>
      </c>
      <c r="K917" s="1">
        <v>0</v>
      </c>
      <c r="L917" s="1">
        <v>0</v>
      </c>
      <c r="M917" s="6" t="s">
        <v>2784</v>
      </c>
      <c r="N917" s="1">
        <v>879</v>
      </c>
      <c r="O917" s="1">
        <v>879</v>
      </c>
      <c r="P917" t="s">
        <v>2778</v>
      </c>
      <c r="Q91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17" s="1" t="s">
        <v>2779</v>
      </c>
    </row>
    <row r="918" spans="1:18" x14ac:dyDescent="0.25">
      <c r="A918" t="s">
        <v>2135</v>
      </c>
      <c r="B918" t="s">
        <v>2136</v>
      </c>
      <c r="C918" s="1">
        <v>55</v>
      </c>
      <c r="I918" s="1">
        <v>0</v>
      </c>
      <c r="J918" s="1">
        <v>0</v>
      </c>
      <c r="K918" s="1">
        <v>0</v>
      </c>
      <c r="L918" s="1">
        <v>0</v>
      </c>
      <c r="M918" s="6" t="s">
        <v>2784</v>
      </c>
      <c r="N918" s="1">
        <v>22</v>
      </c>
      <c r="O918" s="1">
        <v>22</v>
      </c>
      <c r="P918" t="s">
        <v>2778</v>
      </c>
      <c r="Q91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18" s="1" t="s">
        <v>2779</v>
      </c>
    </row>
    <row r="919" spans="1:18" x14ac:dyDescent="0.25">
      <c r="A919" t="s">
        <v>2137</v>
      </c>
      <c r="B919" t="s">
        <v>2138</v>
      </c>
      <c r="C919" s="1">
        <v>610</v>
      </c>
      <c r="I919" s="1">
        <v>0</v>
      </c>
      <c r="J919" s="1">
        <v>0</v>
      </c>
      <c r="K919" s="1">
        <v>0</v>
      </c>
      <c r="L919" s="1">
        <v>0</v>
      </c>
      <c r="M919" s="6" t="s">
        <v>2784</v>
      </c>
      <c r="N919" s="1">
        <v>262</v>
      </c>
      <c r="O919" s="1">
        <v>262</v>
      </c>
      <c r="P919" t="s">
        <v>2778</v>
      </c>
      <c r="Q91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19" s="1" t="s">
        <v>2779</v>
      </c>
    </row>
    <row r="920" spans="1:18" x14ac:dyDescent="0.25">
      <c r="A920" t="s">
        <v>2139</v>
      </c>
      <c r="B920" t="s">
        <v>2140</v>
      </c>
      <c r="C920" s="1">
        <v>860</v>
      </c>
      <c r="I920" s="1">
        <v>0</v>
      </c>
      <c r="J920" s="1">
        <v>0</v>
      </c>
      <c r="K920" s="1">
        <v>0</v>
      </c>
      <c r="L920" s="1">
        <v>0</v>
      </c>
      <c r="M920" s="6" t="s">
        <v>2784</v>
      </c>
      <c r="N920" s="1">
        <v>428</v>
      </c>
      <c r="O920" s="1">
        <v>428</v>
      </c>
      <c r="P920" t="s">
        <v>2778</v>
      </c>
      <c r="Q92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20" s="1" t="s">
        <v>2779</v>
      </c>
    </row>
    <row r="921" spans="1:18" x14ac:dyDescent="0.25">
      <c r="A921" t="s">
        <v>2141</v>
      </c>
      <c r="B921" t="s">
        <v>2142</v>
      </c>
      <c r="C921" s="1">
        <v>102</v>
      </c>
      <c r="L921" s="1">
        <v>0</v>
      </c>
      <c r="M921" s="6" t="s">
        <v>2784</v>
      </c>
      <c r="N921" s="1">
        <v>48</v>
      </c>
      <c r="O921" s="1">
        <v>48</v>
      </c>
      <c r="P921" t="s">
        <v>2778</v>
      </c>
      <c r="Q92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21" s="1" t="s">
        <v>2779</v>
      </c>
    </row>
    <row r="922" spans="1:18" x14ac:dyDescent="0.25">
      <c r="A922" t="s">
        <v>2143</v>
      </c>
      <c r="B922" t="s">
        <v>2144</v>
      </c>
      <c r="C922" s="1">
        <v>208</v>
      </c>
      <c r="I922" s="1">
        <v>0</v>
      </c>
      <c r="J922" s="1">
        <v>0</v>
      </c>
      <c r="K922" s="1">
        <v>0</v>
      </c>
      <c r="L922" s="1">
        <v>0</v>
      </c>
      <c r="M922" s="6" t="s">
        <v>2784</v>
      </c>
      <c r="N922" s="1">
        <v>9</v>
      </c>
      <c r="O922" s="1">
        <v>9</v>
      </c>
      <c r="P922" t="s">
        <v>2778</v>
      </c>
      <c r="Q92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22" s="1" t="s">
        <v>2779</v>
      </c>
    </row>
    <row r="923" spans="1:18" x14ac:dyDescent="0.25">
      <c r="A923" t="s">
        <v>2145</v>
      </c>
      <c r="B923" t="s">
        <v>2146</v>
      </c>
      <c r="C923" s="1">
        <v>125</v>
      </c>
      <c r="I923" s="1">
        <v>0</v>
      </c>
      <c r="J923" s="1">
        <v>0</v>
      </c>
      <c r="K923" s="1">
        <v>0</v>
      </c>
      <c r="L923" s="1">
        <v>0</v>
      </c>
      <c r="M923" s="6" t="s">
        <v>2784</v>
      </c>
      <c r="N923" s="1">
        <v>30</v>
      </c>
      <c r="O923" s="1">
        <v>30</v>
      </c>
      <c r="P923" t="s">
        <v>2778</v>
      </c>
      <c r="Q9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23" s="1" t="s">
        <v>2779</v>
      </c>
    </row>
    <row r="924" spans="1:18" x14ac:dyDescent="0.25">
      <c r="A924" t="s">
        <v>679</v>
      </c>
      <c r="B924" t="s">
        <v>680</v>
      </c>
      <c r="C924" s="1">
        <v>4435</v>
      </c>
      <c r="F924" s="1">
        <v>5</v>
      </c>
      <c r="G924" s="1">
        <v>69</v>
      </c>
      <c r="H924" s="1">
        <v>74</v>
      </c>
      <c r="I924" s="1">
        <v>206</v>
      </c>
      <c r="J924" s="1">
        <v>399</v>
      </c>
      <c r="K924" s="1">
        <v>0</v>
      </c>
      <c r="L924" s="1">
        <v>605</v>
      </c>
      <c r="M924" s="6">
        <f>(Table2[[#This Row],[Grand Total of Lead Service Lines Replaced]]/(Table2[[#This Row],[Total to be identified or replaced]]+Table2[[#This Row],[Grand Total of Lead Service Lines Replaced]]))</f>
        <v>0.10898379970544919</v>
      </c>
      <c r="N924" s="1">
        <v>599</v>
      </c>
      <c r="O924" s="1">
        <v>1204</v>
      </c>
      <c r="P924" t="s">
        <v>2778</v>
      </c>
      <c r="Q92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24" s="1" t="s">
        <v>2783</v>
      </c>
    </row>
    <row r="925" spans="1:18" x14ac:dyDescent="0.25">
      <c r="A925" t="s">
        <v>2149</v>
      </c>
      <c r="B925" t="s">
        <v>2150</v>
      </c>
      <c r="C925" s="1">
        <v>296</v>
      </c>
      <c r="I925" s="1">
        <v>0</v>
      </c>
      <c r="J925" s="1">
        <v>0</v>
      </c>
      <c r="K925" s="1">
        <v>0</v>
      </c>
      <c r="L925" s="1">
        <v>0</v>
      </c>
      <c r="M925" s="6" t="s">
        <v>2784</v>
      </c>
      <c r="N925" s="1">
        <v>200</v>
      </c>
      <c r="O925" s="1">
        <v>200</v>
      </c>
      <c r="P925" t="s">
        <v>2778</v>
      </c>
      <c r="Q92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25" s="1" t="s">
        <v>2779</v>
      </c>
    </row>
    <row r="926" spans="1:18" x14ac:dyDescent="0.25">
      <c r="A926" t="s">
        <v>429</v>
      </c>
      <c r="B926" t="s">
        <v>430</v>
      </c>
      <c r="C926" s="1">
        <v>11920</v>
      </c>
      <c r="D926" s="1">
        <v>69</v>
      </c>
      <c r="E926" s="1">
        <v>30</v>
      </c>
      <c r="F926" s="1">
        <v>45</v>
      </c>
      <c r="G926" s="1">
        <v>51</v>
      </c>
      <c r="H926" s="1">
        <v>195</v>
      </c>
      <c r="I926" s="1">
        <v>1341</v>
      </c>
      <c r="J926" s="1">
        <v>176</v>
      </c>
      <c r="K926" s="1">
        <v>75</v>
      </c>
      <c r="L926" s="1">
        <v>1592</v>
      </c>
      <c r="M926" s="6">
        <f>(Table2[[#This Row],[Grand Total of Lead Service Lines Replaced]]/(Table2[[#This Row],[Total to be identified or replaced]]+Table2[[#This Row],[Grand Total of Lead Service Lines Replaced]]))</f>
        <v>0.10912143256855064</v>
      </c>
      <c r="N926" s="1">
        <v>2410</v>
      </c>
      <c r="O926" s="1">
        <v>4002</v>
      </c>
      <c r="P926" t="s">
        <v>2778</v>
      </c>
      <c r="Q92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26" s="1" t="s">
        <v>2783</v>
      </c>
    </row>
    <row r="927" spans="1:18" x14ac:dyDescent="0.25">
      <c r="A927" t="s">
        <v>1344</v>
      </c>
      <c r="B927" t="s">
        <v>1345</v>
      </c>
      <c r="C927" s="1">
        <v>388</v>
      </c>
      <c r="G927" s="1">
        <v>5</v>
      </c>
      <c r="H927" s="1">
        <v>5</v>
      </c>
      <c r="I927" s="1">
        <v>18</v>
      </c>
      <c r="J927" s="1">
        <v>22</v>
      </c>
      <c r="K927" s="1">
        <v>0</v>
      </c>
      <c r="L927" s="1">
        <v>40</v>
      </c>
      <c r="M927" s="6">
        <f>(Table2[[#This Row],[Grand Total of Lead Service Lines Replaced]]/(Table2[[#This Row],[Total to be identified or replaced]]+Table2[[#This Row],[Grand Total of Lead Service Lines Replaced]]))</f>
        <v>0.1111111111111111</v>
      </c>
      <c r="N927" s="1">
        <v>131</v>
      </c>
      <c r="O927" s="1">
        <v>171</v>
      </c>
      <c r="P927" t="s">
        <v>2778</v>
      </c>
      <c r="Q92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27" s="1" t="s">
        <v>2783</v>
      </c>
    </row>
    <row r="928" spans="1:18" x14ac:dyDescent="0.25">
      <c r="A928" t="s">
        <v>2155</v>
      </c>
      <c r="B928" t="s">
        <v>2156</v>
      </c>
      <c r="C928" s="1">
        <v>279</v>
      </c>
      <c r="I928" s="1">
        <v>0</v>
      </c>
      <c r="J928" s="1">
        <v>0</v>
      </c>
      <c r="K928" s="1">
        <v>0</v>
      </c>
      <c r="L928" s="1">
        <v>0</v>
      </c>
      <c r="M928" s="6" t="s">
        <v>2784</v>
      </c>
      <c r="N928" s="1">
        <v>181</v>
      </c>
      <c r="O928" s="1">
        <v>181</v>
      </c>
      <c r="P928" t="s">
        <v>2778</v>
      </c>
      <c r="Q92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28" s="1" t="s">
        <v>2779</v>
      </c>
    </row>
    <row r="929" spans="1:18" x14ac:dyDescent="0.25">
      <c r="A929" t="s">
        <v>379</v>
      </c>
      <c r="B929" t="s">
        <v>380</v>
      </c>
      <c r="C929" s="1">
        <v>9133</v>
      </c>
      <c r="D929" s="1">
        <v>59</v>
      </c>
      <c r="E929" s="1">
        <v>101</v>
      </c>
      <c r="F929" s="1">
        <v>45</v>
      </c>
      <c r="G929" s="1">
        <v>69</v>
      </c>
      <c r="H929" s="1">
        <v>274</v>
      </c>
      <c r="I929" s="1">
        <v>31</v>
      </c>
      <c r="J929" s="1">
        <v>203</v>
      </c>
      <c r="K929" s="1">
        <v>1860</v>
      </c>
      <c r="L929" s="1">
        <v>2094</v>
      </c>
      <c r="M929" s="6">
        <f>(Table2[[#This Row],[Grand Total of Lead Service Lines Replaced]]/(Table2[[#This Row],[Total to be identified or replaced]]+Table2[[#This Row],[Grand Total of Lead Service Lines Replaced]]))</f>
        <v>0.11570945945945946</v>
      </c>
      <c r="N929" s="1">
        <v>2981</v>
      </c>
      <c r="O929" s="1">
        <v>5075</v>
      </c>
      <c r="P929" t="s">
        <v>2778</v>
      </c>
      <c r="Q92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29" s="1" t="s">
        <v>2783</v>
      </c>
    </row>
    <row r="930" spans="1:18" x14ac:dyDescent="0.25">
      <c r="A930" t="s">
        <v>121</v>
      </c>
      <c r="B930" t="s">
        <v>122</v>
      </c>
      <c r="C930" s="1">
        <v>198</v>
      </c>
      <c r="E930" s="1">
        <v>4</v>
      </c>
      <c r="H930" s="1">
        <v>4</v>
      </c>
      <c r="I930" s="1">
        <v>3</v>
      </c>
      <c r="J930" s="1">
        <v>9</v>
      </c>
      <c r="K930" s="1">
        <v>18</v>
      </c>
      <c r="L930" s="1">
        <v>30</v>
      </c>
      <c r="M930" s="6">
        <f>(Table2[[#This Row],[Grand Total of Lead Service Lines Replaced]]/(Table2[[#This Row],[Total to be identified or replaced]]+Table2[[#This Row],[Grand Total of Lead Service Lines Replaced]]))</f>
        <v>0.11764705882352941</v>
      </c>
      <c r="N930" s="1">
        <v>96</v>
      </c>
      <c r="O930" s="1">
        <v>126</v>
      </c>
      <c r="P930" t="s">
        <v>2778</v>
      </c>
      <c r="Q93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30" s="1" t="s">
        <v>2783</v>
      </c>
    </row>
    <row r="931" spans="1:18" x14ac:dyDescent="0.25">
      <c r="A931" t="s">
        <v>2157</v>
      </c>
      <c r="B931" t="s">
        <v>2158</v>
      </c>
      <c r="C931" s="1">
        <v>248</v>
      </c>
      <c r="I931" s="1">
        <v>0</v>
      </c>
      <c r="J931" s="1">
        <v>0</v>
      </c>
      <c r="K931" s="1">
        <v>0</v>
      </c>
      <c r="L931" s="1">
        <v>0</v>
      </c>
      <c r="M931" s="6" t="s">
        <v>2784</v>
      </c>
      <c r="N931" s="1">
        <v>154</v>
      </c>
      <c r="O931" s="1">
        <v>154</v>
      </c>
      <c r="P931" t="s">
        <v>2778</v>
      </c>
      <c r="Q93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31" s="1" t="s">
        <v>2779</v>
      </c>
    </row>
    <row r="932" spans="1:18" x14ac:dyDescent="0.25">
      <c r="A932" t="s">
        <v>2159</v>
      </c>
      <c r="B932" t="s">
        <v>2160</v>
      </c>
      <c r="C932" s="1">
        <v>2607</v>
      </c>
      <c r="I932" s="1">
        <v>0</v>
      </c>
      <c r="J932" s="1">
        <v>0</v>
      </c>
      <c r="K932" s="1">
        <v>0</v>
      </c>
      <c r="L932" s="1">
        <v>0</v>
      </c>
      <c r="M932" s="6" t="s">
        <v>2784</v>
      </c>
      <c r="N932" s="1">
        <v>1431</v>
      </c>
      <c r="O932" s="1">
        <v>1431</v>
      </c>
      <c r="P932" t="s">
        <v>2778</v>
      </c>
      <c r="Q9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32" s="1" t="s">
        <v>2779</v>
      </c>
    </row>
    <row r="933" spans="1:18" x14ac:dyDescent="0.25">
      <c r="A933" t="s">
        <v>2163</v>
      </c>
      <c r="B933" t="s">
        <v>2164</v>
      </c>
      <c r="C933" s="1">
        <v>255</v>
      </c>
      <c r="I933" s="1">
        <v>0</v>
      </c>
      <c r="J933" s="1">
        <v>0</v>
      </c>
      <c r="K933" s="1">
        <v>0</v>
      </c>
      <c r="L933" s="1">
        <v>0</v>
      </c>
      <c r="M933" s="6" t="s">
        <v>2784</v>
      </c>
      <c r="N933" s="1">
        <v>120</v>
      </c>
      <c r="O933" s="1">
        <v>120</v>
      </c>
      <c r="P933" t="s">
        <v>2778</v>
      </c>
      <c r="Q93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33" s="1" t="s">
        <v>2779</v>
      </c>
    </row>
    <row r="934" spans="1:18" x14ac:dyDescent="0.25">
      <c r="A934" t="s">
        <v>2165</v>
      </c>
      <c r="B934" t="s">
        <v>2166</v>
      </c>
      <c r="C934" s="1">
        <v>725</v>
      </c>
      <c r="I934" s="1">
        <v>0</v>
      </c>
      <c r="J934" s="1">
        <v>0</v>
      </c>
      <c r="K934" s="1">
        <v>0</v>
      </c>
      <c r="L934" s="1">
        <v>0</v>
      </c>
      <c r="M934" s="6" t="s">
        <v>2784</v>
      </c>
      <c r="N934" s="1">
        <v>290</v>
      </c>
      <c r="O934" s="1">
        <v>290</v>
      </c>
      <c r="P934" t="s">
        <v>2778</v>
      </c>
      <c r="Q93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34" s="1" t="s">
        <v>2779</v>
      </c>
    </row>
    <row r="935" spans="1:18" x14ac:dyDescent="0.25">
      <c r="A935" t="s">
        <v>2169</v>
      </c>
      <c r="B935" t="s">
        <v>2170</v>
      </c>
      <c r="C935" s="1">
        <v>2194</v>
      </c>
      <c r="I935" s="1">
        <v>0</v>
      </c>
      <c r="J935" s="1">
        <v>0</v>
      </c>
      <c r="K935" s="1">
        <v>0</v>
      </c>
      <c r="L935" s="1">
        <v>0</v>
      </c>
      <c r="M935" s="6" t="s">
        <v>2784</v>
      </c>
      <c r="N935" s="1">
        <v>911</v>
      </c>
      <c r="O935" s="1">
        <v>911</v>
      </c>
      <c r="P935" t="s">
        <v>2778</v>
      </c>
      <c r="Q93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35" s="1" t="s">
        <v>2779</v>
      </c>
    </row>
    <row r="936" spans="1:18" x14ac:dyDescent="0.25">
      <c r="A936" t="s">
        <v>1162</v>
      </c>
      <c r="B936" t="s">
        <v>1163</v>
      </c>
      <c r="C936" s="1">
        <v>620</v>
      </c>
      <c r="L936" s="1">
        <v>0</v>
      </c>
      <c r="M936" s="6" t="s">
        <v>2784</v>
      </c>
      <c r="N936" s="1">
        <v>276</v>
      </c>
      <c r="P936" t="s">
        <v>2778</v>
      </c>
      <c r="Q936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936" s="1" t="s">
        <v>2782</v>
      </c>
    </row>
    <row r="937" spans="1:18" x14ac:dyDescent="0.25">
      <c r="A937" t="s">
        <v>2171</v>
      </c>
      <c r="B937" t="s">
        <v>2172</v>
      </c>
      <c r="C937" s="1">
        <v>1058</v>
      </c>
      <c r="L937" s="1">
        <v>0</v>
      </c>
      <c r="M937" s="6" t="s">
        <v>2784</v>
      </c>
      <c r="N937" s="1">
        <v>92</v>
      </c>
      <c r="O937" s="1">
        <v>92</v>
      </c>
      <c r="P937" t="s">
        <v>2778</v>
      </c>
      <c r="Q93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37" s="1" t="s">
        <v>2779</v>
      </c>
    </row>
    <row r="938" spans="1:18" x14ac:dyDescent="0.25">
      <c r="A938" t="s">
        <v>713</v>
      </c>
      <c r="B938" t="s">
        <v>714</v>
      </c>
      <c r="C938" s="1">
        <v>5029</v>
      </c>
      <c r="E938" s="1">
        <v>2</v>
      </c>
      <c r="F938" s="1">
        <v>6</v>
      </c>
      <c r="G938" s="1">
        <v>7</v>
      </c>
      <c r="H938" s="1">
        <v>15</v>
      </c>
      <c r="I938" s="1">
        <v>29</v>
      </c>
      <c r="J938" s="1">
        <v>8</v>
      </c>
      <c r="K938" s="1">
        <v>75</v>
      </c>
      <c r="L938" s="1">
        <v>112</v>
      </c>
      <c r="M938" s="6">
        <f>(Table2[[#This Row],[Grand Total of Lead Service Lines Replaced]]/(Table2[[#This Row],[Total to be identified or replaced]]+Table2[[#This Row],[Grand Total of Lead Service Lines Replaced]]))</f>
        <v>0.11811023622047244</v>
      </c>
      <c r="N938" s="1">
        <v>2083</v>
      </c>
      <c r="O938" s="1">
        <v>2195</v>
      </c>
      <c r="P938" t="s">
        <v>2778</v>
      </c>
      <c r="Q93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38" s="1" t="s">
        <v>2783</v>
      </c>
    </row>
    <row r="939" spans="1:18" x14ac:dyDescent="0.25">
      <c r="A939" t="s">
        <v>939</v>
      </c>
      <c r="B939" t="s">
        <v>940</v>
      </c>
      <c r="C939" s="1">
        <v>7088</v>
      </c>
      <c r="D939" s="1">
        <v>6</v>
      </c>
      <c r="E939" s="1">
        <v>25</v>
      </c>
      <c r="F939" s="1">
        <v>4</v>
      </c>
      <c r="G939" s="1">
        <v>1</v>
      </c>
      <c r="H939" s="1">
        <v>36</v>
      </c>
      <c r="I939" s="1">
        <v>53</v>
      </c>
      <c r="J939" s="1">
        <v>30</v>
      </c>
      <c r="K939" s="1">
        <v>177</v>
      </c>
      <c r="L939" s="1">
        <v>260</v>
      </c>
      <c r="M939" s="6">
        <f>(Table2[[#This Row],[Grand Total of Lead Service Lines Replaced]]/(Table2[[#This Row],[Total to be identified or replaced]]+Table2[[#This Row],[Grand Total of Lead Service Lines Replaced]]))</f>
        <v>0.12162162162162163</v>
      </c>
      <c r="N939" s="1">
        <v>2549</v>
      </c>
      <c r="O939" s="1">
        <v>2809</v>
      </c>
      <c r="P939" t="s">
        <v>2778</v>
      </c>
      <c r="Q93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39" s="1" t="s">
        <v>2783</v>
      </c>
    </row>
    <row r="940" spans="1:18" x14ac:dyDescent="0.25">
      <c r="A940" t="s">
        <v>2173</v>
      </c>
      <c r="B940" t="s">
        <v>2174</v>
      </c>
      <c r="C940" s="1">
        <v>92</v>
      </c>
      <c r="I940" s="1">
        <v>0</v>
      </c>
      <c r="J940" s="1">
        <v>0</v>
      </c>
      <c r="K940" s="1">
        <v>0</v>
      </c>
      <c r="L940" s="1">
        <v>0</v>
      </c>
      <c r="M940" s="6" t="s">
        <v>2784</v>
      </c>
      <c r="N940" s="1">
        <v>45</v>
      </c>
      <c r="O940" s="1">
        <v>45</v>
      </c>
      <c r="P940" t="s">
        <v>2778</v>
      </c>
      <c r="Q9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40" s="1" t="s">
        <v>2779</v>
      </c>
    </row>
    <row r="941" spans="1:18" x14ac:dyDescent="0.25">
      <c r="A941" t="s">
        <v>1636</v>
      </c>
      <c r="B941" t="s">
        <v>1637</v>
      </c>
      <c r="C941" s="1">
        <v>897</v>
      </c>
      <c r="E941" s="1">
        <v>1</v>
      </c>
      <c r="F941" s="1">
        <v>5</v>
      </c>
      <c r="G941" s="1">
        <v>5</v>
      </c>
      <c r="H941" s="1">
        <v>11</v>
      </c>
      <c r="I941" s="1">
        <v>31</v>
      </c>
      <c r="J941" s="1">
        <v>46</v>
      </c>
      <c r="K941" s="1">
        <v>0</v>
      </c>
      <c r="L941" s="1">
        <v>77</v>
      </c>
      <c r="M941" s="6">
        <f>(Table2[[#This Row],[Grand Total of Lead Service Lines Replaced]]/(Table2[[#This Row],[Total to be identified or replaced]]+Table2[[#This Row],[Grand Total of Lead Service Lines Replaced]]))</f>
        <v>0.125</v>
      </c>
      <c r="N941" s="1">
        <v>487</v>
      </c>
      <c r="O941" s="1">
        <v>564</v>
      </c>
      <c r="P941" t="s">
        <v>2778</v>
      </c>
      <c r="Q94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41" s="1" t="s">
        <v>2783</v>
      </c>
    </row>
    <row r="942" spans="1:18" x14ac:dyDescent="0.25">
      <c r="A942" t="s">
        <v>33</v>
      </c>
      <c r="B942" t="s">
        <v>34</v>
      </c>
      <c r="C942" s="1">
        <v>23663</v>
      </c>
      <c r="D942" s="1">
        <v>57</v>
      </c>
      <c r="E942" s="1">
        <v>124</v>
      </c>
      <c r="F942" s="1">
        <v>58</v>
      </c>
      <c r="G942" s="1">
        <v>88</v>
      </c>
      <c r="H942" s="1">
        <v>327</v>
      </c>
      <c r="I942" s="1">
        <v>5</v>
      </c>
      <c r="J942" s="1">
        <v>2280</v>
      </c>
      <c r="K942" s="1">
        <v>0</v>
      </c>
      <c r="L942" s="1">
        <v>2285</v>
      </c>
      <c r="M942" s="6">
        <f>(Table2[[#This Row],[Grand Total of Lead Service Lines Replaced]]/(Table2[[#This Row],[Total to be identified or replaced]]+Table2[[#This Row],[Grand Total of Lead Service Lines Replaced]]))</f>
        <v>0.12519142419601836</v>
      </c>
      <c r="N942" s="1">
        <v>3876</v>
      </c>
      <c r="O942" s="1">
        <v>6161</v>
      </c>
      <c r="P942" t="s">
        <v>2778</v>
      </c>
      <c r="Q94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42" s="1" t="s">
        <v>2783</v>
      </c>
    </row>
    <row r="943" spans="1:18" x14ac:dyDescent="0.25">
      <c r="A943" t="s">
        <v>1250</v>
      </c>
      <c r="B943" t="s">
        <v>1251</v>
      </c>
      <c r="C943" s="1">
        <v>94</v>
      </c>
      <c r="L943" s="1">
        <v>0</v>
      </c>
      <c r="M943" s="6" t="s">
        <v>2784</v>
      </c>
      <c r="N943" s="1">
        <v>61</v>
      </c>
      <c r="P943" t="s">
        <v>2778</v>
      </c>
      <c r="Q943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943" s="1" t="s">
        <v>2782</v>
      </c>
    </row>
    <row r="944" spans="1:18" x14ac:dyDescent="0.25">
      <c r="A944" t="s">
        <v>281</v>
      </c>
      <c r="B944" t="s">
        <v>282</v>
      </c>
      <c r="C944" s="1">
        <v>17593</v>
      </c>
      <c r="D944" s="1">
        <v>43</v>
      </c>
      <c r="E944" s="1">
        <v>44</v>
      </c>
      <c r="F944" s="1">
        <v>153</v>
      </c>
      <c r="G944" s="1">
        <v>399</v>
      </c>
      <c r="H944" s="1">
        <v>639</v>
      </c>
      <c r="I944" s="1">
        <v>112</v>
      </c>
      <c r="J944" s="1">
        <v>182</v>
      </c>
      <c r="K944" s="1">
        <v>4117</v>
      </c>
      <c r="L944" s="1">
        <v>4411</v>
      </c>
      <c r="M944" s="6">
        <f>(Table2[[#This Row],[Grand Total of Lead Service Lines Replaced]]/(Table2[[#This Row],[Total to be identified or replaced]]+Table2[[#This Row],[Grand Total of Lead Service Lines Replaced]]))</f>
        <v>0.12653465346534654</v>
      </c>
      <c r="N944" s="1">
        <v>1504</v>
      </c>
      <c r="O944" s="1">
        <v>5915</v>
      </c>
      <c r="P944">
        <v>2023</v>
      </c>
      <c r="Q94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44" s="1" t="s">
        <v>2783</v>
      </c>
    </row>
    <row r="945" spans="1:18" x14ac:dyDescent="0.25">
      <c r="A945" t="s">
        <v>1442</v>
      </c>
      <c r="B945" t="s">
        <v>1443</v>
      </c>
      <c r="C945" s="1">
        <v>100</v>
      </c>
      <c r="L945" s="1">
        <v>0</v>
      </c>
      <c r="M945" s="6" t="s">
        <v>2784</v>
      </c>
      <c r="P945" t="s">
        <v>2778</v>
      </c>
      <c r="Q945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945" s="1" t="s">
        <v>2782</v>
      </c>
    </row>
    <row r="946" spans="1:18" x14ac:dyDescent="0.25">
      <c r="A946" t="s">
        <v>873</v>
      </c>
      <c r="B946" t="s">
        <v>874</v>
      </c>
      <c r="C946" s="1">
        <v>4632</v>
      </c>
      <c r="D946" s="1">
        <v>11</v>
      </c>
      <c r="E946" s="1">
        <v>7</v>
      </c>
      <c r="F946" s="1">
        <v>11</v>
      </c>
      <c r="G946" s="1">
        <v>20</v>
      </c>
      <c r="H946" s="1">
        <v>49</v>
      </c>
      <c r="I946" s="1">
        <v>318</v>
      </c>
      <c r="J946" s="1">
        <v>15</v>
      </c>
      <c r="K946" s="1">
        <v>0</v>
      </c>
      <c r="L946" s="1">
        <v>333</v>
      </c>
      <c r="M946" s="6">
        <f>(Table2[[#This Row],[Grand Total of Lead Service Lines Replaced]]/(Table2[[#This Row],[Total to be identified or replaced]]+Table2[[#This Row],[Grand Total of Lead Service Lines Replaced]]))</f>
        <v>0.12827225130890052</v>
      </c>
      <c r="N946" s="1">
        <v>1826</v>
      </c>
      <c r="O946" s="1">
        <v>2159</v>
      </c>
      <c r="P946" t="s">
        <v>2778</v>
      </c>
      <c r="Q94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46" s="1" t="s">
        <v>2783</v>
      </c>
    </row>
    <row r="947" spans="1:18" x14ac:dyDescent="0.25">
      <c r="A947" t="s">
        <v>2179</v>
      </c>
      <c r="B947" t="s">
        <v>2180</v>
      </c>
      <c r="C947" s="1">
        <v>241</v>
      </c>
      <c r="I947" s="1">
        <v>0</v>
      </c>
      <c r="J947" s="1">
        <v>0</v>
      </c>
      <c r="K947" s="1">
        <v>0</v>
      </c>
      <c r="L947" s="1">
        <v>0</v>
      </c>
      <c r="M947" s="6" t="s">
        <v>2784</v>
      </c>
      <c r="N947" s="1">
        <v>110</v>
      </c>
      <c r="O947" s="1">
        <v>110</v>
      </c>
      <c r="P947" t="s">
        <v>2778</v>
      </c>
      <c r="Q94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47" s="1" t="s">
        <v>2779</v>
      </c>
    </row>
    <row r="948" spans="1:18" x14ac:dyDescent="0.25">
      <c r="A948" t="s">
        <v>1668</v>
      </c>
      <c r="B948" t="s">
        <v>1669</v>
      </c>
      <c r="C948" s="1">
        <v>474</v>
      </c>
      <c r="D948" s="1">
        <v>1</v>
      </c>
      <c r="E948" s="1">
        <v>1</v>
      </c>
      <c r="F948" s="1">
        <v>1</v>
      </c>
      <c r="G948" s="1">
        <v>1</v>
      </c>
      <c r="H948" s="1">
        <v>4</v>
      </c>
      <c r="I948" s="1">
        <v>0</v>
      </c>
      <c r="J948" s="1">
        <v>20</v>
      </c>
      <c r="K948" s="1">
        <v>7</v>
      </c>
      <c r="L948" s="1">
        <v>27</v>
      </c>
      <c r="M948" s="6">
        <f>(Table2[[#This Row],[Grand Total of Lead Service Lines Replaced]]/(Table2[[#This Row],[Total to be identified or replaced]]+Table2[[#This Row],[Grand Total of Lead Service Lines Replaced]]))</f>
        <v>0.12903225806451613</v>
      </c>
      <c r="N948" s="1">
        <v>383</v>
      </c>
      <c r="O948" s="1">
        <v>372</v>
      </c>
      <c r="P948" t="s">
        <v>2778</v>
      </c>
      <c r="Q94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48" s="1" t="s">
        <v>2783</v>
      </c>
    </row>
    <row r="949" spans="1:18" x14ac:dyDescent="0.25">
      <c r="A949" t="s">
        <v>2183</v>
      </c>
      <c r="B949" t="s">
        <v>2184</v>
      </c>
      <c r="C949" s="1">
        <v>10090</v>
      </c>
      <c r="I949" s="1">
        <v>0</v>
      </c>
      <c r="J949" s="1">
        <v>0</v>
      </c>
      <c r="K949" s="1">
        <v>0</v>
      </c>
      <c r="L949" s="1">
        <v>0</v>
      </c>
      <c r="M949" s="6" t="s">
        <v>2784</v>
      </c>
      <c r="N949" s="1">
        <v>3215</v>
      </c>
      <c r="O949" s="1">
        <v>3215</v>
      </c>
      <c r="P949" t="s">
        <v>2778</v>
      </c>
      <c r="Q94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49" s="1" t="s">
        <v>2779</v>
      </c>
    </row>
    <row r="950" spans="1:18" x14ac:dyDescent="0.25">
      <c r="A950" t="s">
        <v>1462</v>
      </c>
      <c r="B950" t="s">
        <v>1463</v>
      </c>
      <c r="C950" s="1">
        <v>105</v>
      </c>
      <c r="L950" s="1">
        <v>0</v>
      </c>
      <c r="M950" s="6" t="s">
        <v>2784</v>
      </c>
      <c r="P950" t="s">
        <v>2778</v>
      </c>
      <c r="Q950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950" s="1" t="s">
        <v>2782</v>
      </c>
    </row>
    <row r="951" spans="1:18" x14ac:dyDescent="0.25">
      <c r="A951" t="s">
        <v>1334</v>
      </c>
      <c r="B951" t="s">
        <v>1335</v>
      </c>
      <c r="C951" s="1">
        <v>1007</v>
      </c>
      <c r="D951" s="1">
        <v>8</v>
      </c>
      <c r="E951" s="1">
        <v>3</v>
      </c>
      <c r="F951" s="1">
        <v>1</v>
      </c>
      <c r="G951" s="1">
        <v>4</v>
      </c>
      <c r="H951" s="1">
        <v>16</v>
      </c>
      <c r="I951" s="1">
        <v>20</v>
      </c>
      <c r="J951" s="1">
        <v>88</v>
      </c>
      <c r="K951" s="1">
        <v>0</v>
      </c>
      <c r="L951" s="1">
        <v>108</v>
      </c>
      <c r="M951" s="6">
        <f>(Table2[[#This Row],[Grand Total of Lead Service Lines Replaced]]/(Table2[[#This Row],[Total to be identified or replaced]]+Table2[[#This Row],[Grand Total of Lead Service Lines Replaced]]))</f>
        <v>0.12903225806451613</v>
      </c>
      <c r="N951" s="1">
        <v>345</v>
      </c>
      <c r="O951" s="1">
        <v>453</v>
      </c>
      <c r="P951" t="s">
        <v>2778</v>
      </c>
      <c r="Q95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51" s="1" t="s">
        <v>2783</v>
      </c>
    </row>
    <row r="952" spans="1:18" x14ac:dyDescent="0.25">
      <c r="A952" t="s">
        <v>2185</v>
      </c>
      <c r="B952" t="s">
        <v>2186</v>
      </c>
      <c r="C952" s="1">
        <v>30</v>
      </c>
      <c r="I952" s="1">
        <v>0</v>
      </c>
      <c r="J952" s="1">
        <v>0</v>
      </c>
      <c r="K952" s="1">
        <v>0</v>
      </c>
      <c r="L952" s="1">
        <v>0</v>
      </c>
      <c r="M952" s="6" t="s">
        <v>2784</v>
      </c>
      <c r="N952" s="1">
        <v>15</v>
      </c>
      <c r="O952" s="1">
        <v>15</v>
      </c>
      <c r="P952" t="s">
        <v>2778</v>
      </c>
      <c r="Q9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52" s="1" t="s">
        <v>2779</v>
      </c>
    </row>
    <row r="953" spans="1:18" x14ac:dyDescent="0.25">
      <c r="A953" t="s">
        <v>2187</v>
      </c>
      <c r="B953" t="s">
        <v>2188</v>
      </c>
      <c r="C953" s="1">
        <v>63</v>
      </c>
      <c r="I953" s="1">
        <v>0</v>
      </c>
      <c r="J953" s="1">
        <v>0</v>
      </c>
      <c r="K953" s="1">
        <v>0</v>
      </c>
      <c r="L953" s="1">
        <v>0</v>
      </c>
      <c r="M953" s="6" t="s">
        <v>2784</v>
      </c>
      <c r="N953" s="1">
        <v>25</v>
      </c>
      <c r="O953" s="1">
        <v>25</v>
      </c>
      <c r="P953" t="s">
        <v>2778</v>
      </c>
      <c r="Q9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53" s="1" t="s">
        <v>2779</v>
      </c>
    </row>
    <row r="954" spans="1:18" x14ac:dyDescent="0.25">
      <c r="A954" t="s">
        <v>2189</v>
      </c>
      <c r="B954" t="s">
        <v>2190</v>
      </c>
      <c r="C954" s="1">
        <v>72</v>
      </c>
      <c r="L954" s="1">
        <v>0</v>
      </c>
      <c r="M954" s="6" t="s">
        <v>2784</v>
      </c>
      <c r="N954" s="1">
        <v>29</v>
      </c>
      <c r="O954" s="1">
        <v>29</v>
      </c>
      <c r="P954" t="s">
        <v>2778</v>
      </c>
      <c r="Q95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54" s="1" t="s">
        <v>2779</v>
      </c>
    </row>
    <row r="955" spans="1:18" x14ac:dyDescent="0.25">
      <c r="A955" t="s">
        <v>1102</v>
      </c>
      <c r="B955" t="s">
        <v>1103</v>
      </c>
      <c r="C955" s="1">
        <v>1200</v>
      </c>
      <c r="D955" s="1">
        <v>3</v>
      </c>
      <c r="F955" s="1">
        <v>19</v>
      </c>
      <c r="G955" s="1">
        <v>5</v>
      </c>
      <c r="H955" s="1">
        <v>27</v>
      </c>
      <c r="I955" s="1">
        <v>101</v>
      </c>
      <c r="J955" s="1">
        <v>79</v>
      </c>
      <c r="K955" s="1">
        <v>0</v>
      </c>
      <c r="L955" s="1">
        <v>180</v>
      </c>
      <c r="M955" s="6">
        <f>(Table2[[#This Row],[Grand Total of Lead Service Lines Replaced]]/(Table2[[#This Row],[Total to be identified or replaced]]+Table2[[#This Row],[Grand Total of Lead Service Lines Replaced]]))</f>
        <v>0.13043478260869565</v>
      </c>
      <c r="N955" s="1">
        <v>330</v>
      </c>
      <c r="O955" s="1">
        <v>510</v>
      </c>
      <c r="P955" t="s">
        <v>2778</v>
      </c>
      <c r="Q95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55" s="1" t="s">
        <v>2783</v>
      </c>
    </row>
    <row r="956" spans="1:18" x14ac:dyDescent="0.25">
      <c r="A956" t="s">
        <v>51</v>
      </c>
      <c r="B956" t="s">
        <v>52</v>
      </c>
      <c r="L956" s="1">
        <v>0</v>
      </c>
      <c r="M956" s="6" t="s">
        <v>2784</v>
      </c>
      <c r="O956" s="1">
        <v>0</v>
      </c>
      <c r="P956" t="s">
        <v>2778</v>
      </c>
      <c r="Q956" t="s">
        <v>2788</v>
      </c>
      <c r="R956" t="s">
        <v>2788</v>
      </c>
    </row>
    <row r="957" spans="1:18" x14ac:dyDescent="0.25">
      <c r="A957" t="s">
        <v>2195</v>
      </c>
      <c r="B957" t="s">
        <v>2196</v>
      </c>
      <c r="C957" s="1">
        <v>378</v>
      </c>
      <c r="I957" s="1">
        <v>0</v>
      </c>
      <c r="J957" s="1">
        <v>0</v>
      </c>
      <c r="K957" s="1">
        <v>0</v>
      </c>
      <c r="L957" s="1">
        <v>0</v>
      </c>
      <c r="M957" s="6" t="s">
        <v>2784</v>
      </c>
      <c r="N957" s="1">
        <v>109</v>
      </c>
      <c r="O957" s="1">
        <v>109</v>
      </c>
      <c r="P957" t="s">
        <v>2778</v>
      </c>
      <c r="Q95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57" s="1" t="s">
        <v>2779</v>
      </c>
    </row>
    <row r="958" spans="1:18" x14ac:dyDescent="0.25">
      <c r="A958" t="s">
        <v>2199</v>
      </c>
      <c r="B958" t="s">
        <v>2200</v>
      </c>
      <c r="C958" s="1">
        <v>768</v>
      </c>
      <c r="L958" s="1">
        <v>0</v>
      </c>
      <c r="M958" s="6" t="s">
        <v>2784</v>
      </c>
      <c r="N958" s="1">
        <v>247</v>
      </c>
      <c r="O958" s="1">
        <v>247</v>
      </c>
      <c r="P958" t="s">
        <v>2778</v>
      </c>
      <c r="Q95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58" s="1" t="s">
        <v>2779</v>
      </c>
    </row>
    <row r="959" spans="1:18" x14ac:dyDescent="0.25">
      <c r="A959" t="s">
        <v>895</v>
      </c>
      <c r="B959" t="s">
        <v>896</v>
      </c>
      <c r="C959" s="1">
        <v>3446</v>
      </c>
      <c r="D959" s="1">
        <v>27</v>
      </c>
      <c r="E959" s="1">
        <v>6</v>
      </c>
      <c r="F959" s="1">
        <v>2</v>
      </c>
      <c r="G959" s="1">
        <v>11</v>
      </c>
      <c r="H959" s="1">
        <v>46</v>
      </c>
      <c r="I959" s="1">
        <v>302</v>
      </c>
      <c r="J959" s="1">
        <v>3</v>
      </c>
      <c r="L959" s="1">
        <v>305</v>
      </c>
      <c r="M959" s="6">
        <f>(Table2[[#This Row],[Grand Total of Lead Service Lines Replaced]]/(Table2[[#This Row],[Total to be identified or replaced]]+Table2[[#This Row],[Grand Total of Lead Service Lines Replaced]]))</f>
        <v>0.13105413105413105</v>
      </c>
      <c r="N959" s="1">
        <v>1219</v>
      </c>
      <c r="O959" s="1">
        <v>1524</v>
      </c>
      <c r="P959" t="s">
        <v>2778</v>
      </c>
      <c r="Q95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59" s="1" t="s">
        <v>2783</v>
      </c>
    </row>
    <row r="960" spans="1:18" x14ac:dyDescent="0.25">
      <c r="A960" t="s">
        <v>2201</v>
      </c>
      <c r="B960" t="s">
        <v>2202</v>
      </c>
      <c r="C960" s="1">
        <v>40</v>
      </c>
      <c r="I960" s="1">
        <v>0</v>
      </c>
      <c r="J960" s="1">
        <v>0</v>
      </c>
      <c r="K960" s="1">
        <v>0</v>
      </c>
      <c r="L960" s="1">
        <v>0</v>
      </c>
      <c r="M960" s="6" t="s">
        <v>2784</v>
      </c>
      <c r="N960" s="1">
        <v>2</v>
      </c>
      <c r="O960" s="1">
        <v>2</v>
      </c>
      <c r="P960" t="s">
        <v>2778</v>
      </c>
      <c r="Q96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60" s="1" t="s">
        <v>2779</v>
      </c>
    </row>
    <row r="961" spans="1:18" x14ac:dyDescent="0.25">
      <c r="A961" t="s">
        <v>2203</v>
      </c>
      <c r="B961" t="s">
        <v>2204</v>
      </c>
      <c r="C961" s="1">
        <v>122</v>
      </c>
      <c r="I961" s="1">
        <v>0</v>
      </c>
      <c r="J961" s="1">
        <v>0</v>
      </c>
      <c r="K961" s="1">
        <v>0</v>
      </c>
      <c r="L961" s="1">
        <v>0</v>
      </c>
      <c r="M961" s="6" t="s">
        <v>2784</v>
      </c>
      <c r="N961" s="1">
        <v>49</v>
      </c>
      <c r="O961" s="1">
        <v>49</v>
      </c>
      <c r="P961" t="s">
        <v>2778</v>
      </c>
      <c r="Q96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61" s="1" t="s">
        <v>2779</v>
      </c>
    </row>
    <row r="962" spans="1:18" x14ac:dyDescent="0.25">
      <c r="A962" t="s">
        <v>2207</v>
      </c>
      <c r="B962" t="s">
        <v>2208</v>
      </c>
      <c r="C962" s="1">
        <v>632</v>
      </c>
      <c r="L962" s="1">
        <v>0</v>
      </c>
      <c r="M962" s="6" t="s">
        <v>2784</v>
      </c>
      <c r="N962" s="1">
        <v>267</v>
      </c>
      <c r="O962" s="1">
        <v>267</v>
      </c>
      <c r="P962" t="s">
        <v>2778</v>
      </c>
      <c r="Q96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62" s="1" t="s">
        <v>2779</v>
      </c>
    </row>
    <row r="963" spans="1:18" x14ac:dyDescent="0.25">
      <c r="A963" t="s">
        <v>2209</v>
      </c>
      <c r="B963" t="s">
        <v>2210</v>
      </c>
      <c r="C963" s="1">
        <v>1790</v>
      </c>
      <c r="L963" s="1">
        <v>0</v>
      </c>
      <c r="M963" s="6" t="s">
        <v>2784</v>
      </c>
      <c r="N963" s="1">
        <v>581</v>
      </c>
      <c r="O963" s="1">
        <v>581</v>
      </c>
      <c r="P963" t="s">
        <v>2778</v>
      </c>
      <c r="Q9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63" s="1" t="s">
        <v>2779</v>
      </c>
    </row>
    <row r="964" spans="1:18" x14ac:dyDescent="0.25">
      <c r="A964" t="s">
        <v>1132</v>
      </c>
      <c r="B964" t="s">
        <v>1133</v>
      </c>
      <c r="C964" s="1">
        <v>1100</v>
      </c>
      <c r="E964" s="1">
        <v>2</v>
      </c>
      <c r="F964" s="1">
        <v>17</v>
      </c>
      <c r="G964" s="1">
        <v>5</v>
      </c>
      <c r="H964" s="1">
        <v>24</v>
      </c>
      <c r="I964" s="1">
        <v>0</v>
      </c>
      <c r="J964" s="1">
        <v>114</v>
      </c>
      <c r="K964" s="1">
        <v>45</v>
      </c>
      <c r="L964" s="1">
        <v>159</v>
      </c>
      <c r="M964" s="6">
        <f>(Table2[[#This Row],[Grand Total of Lead Service Lines Replaced]]/(Table2[[#This Row],[Total to be identified or replaced]]+Table2[[#This Row],[Grand Total of Lead Service Lines Replaced]]))</f>
        <v>0.13114754098360656</v>
      </c>
      <c r="N964" s="1">
        <v>636</v>
      </c>
      <c r="O964" s="1">
        <v>795</v>
      </c>
      <c r="P964" t="s">
        <v>2778</v>
      </c>
      <c r="Q96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64" s="1" t="s">
        <v>2783</v>
      </c>
    </row>
    <row r="965" spans="1:18" x14ac:dyDescent="0.25">
      <c r="A965" t="s">
        <v>183</v>
      </c>
      <c r="B965" t="s">
        <v>184</v>
      </c>
      <c r="C965" s="1">
        <v>37213</v>
      </c>
      <c r="D965" s="1">
        <v>336</v>
      </c>
      <c r="E965" s="1">
        <v>180</v>
      </c>
      <c r="F965" s="1">
        <v>446</v>
      </c>
      <c r="G965" s="1">
        <v>609</v>
      </c>
      <c r="H965" s="1">
        <v>1571</v>
      </c>
      <c r="I965" s="1">
        <v>7631</v>
      </c>
      <c r="J965" s="1">
        <v>2736</v>
      </c>
      <c r="K965" s="1">
        <v>0</v>
      </c>
      <c r="L965" s="1">
        <v>10367</v>
      </c>
      <c r="M965" s="6">
        <f>(Table2[[#This Row],[Grand Total of Lead Service Lines Replaced]]/(Table2[[#This Row],[Total to be identified or replaced]]+Table2[[#This Row],[Grand Total of Lead Service Lines Replaced]]))</f>
        <v>0.13159658234210087</v>
      </c>
      <c r="N965" s="1">
        <v>4096</v>
      </c>
      <c r="O965" s="1">
        <v>14463</v>
      </c>
      <c r="P965" t="s">
        <v>2778</v>
      </c>
      <c r="Q96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65" s="1" t="s">
        <v>2783</v>
      </c>
    </row>
    <row r="966" spans="1:18" x14ac:dyDescent="0.25">
      <c r="A966" t="s">
        <v>2205</v>
      </c>
      <c r="B966" t="s">
        <v>2206</v>
      </c>
      <c r="C966" s="1">
        <v>390</v>
      </c>
      <c r="I966" s="1">
        <v>0</v>
      </c>
      <c r="J966" s="1">
        <v>0</v>
      </c>
      <c r="K966" s="1">
        <v>0</v>
      </c>
      <c r="L966" s="1">
        <v>0</v>
      </c>
      <c r="M966" s="6" t="s">
        <v>2784</v>
      </c>
      <c r="N966" s="1">
        <v>122</v>
      </c>
      <c r="O966" s="1">
        <v>122</v>
      </c>
      <c r="P966" t="s">
        <v>2778</v>
      </c>
      <c r="Q96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66" s="1" t="s">
        <v>2779</v>
      </c>
    </row>
    <row r="967" spans="1:18" x14ac:dyDescent="0.25">
      <c r="A967" t="s">
        <v>289</v>
      </c>
      <c r="B967" t="s">
        <v>290</v>
      </c>
      <c r="C967" s="1">
        <v>81252</v>
      </c>
      <c r="D967" s="1">
        <v>214</v>
      </c>
      <c r="E967" s="1">
        <v>122</v>
      </c>
      <c r="F967" s="1">
        <v>247</v>
      </c>
      <c r="G967" s="1">
        <v>62</v>
      </c>
      <c r="H967" s="1">
        <v>645</v>
      </c>
      <c r="I967" s="1">
        <v>722</v>
      </c>
      <c r="J967" s="1">
        <v>120</v>
      </c>
      <c r="K967" s="1">
        <v>3283</v>
      </c>
      <c r="L967" s="1">
        <v>4125</v>
      </c>
      <c r="M967" s="6">
        <f>(Table2[[#This Row],[Grand Total of Lead Service Lines Replaced]]/(Table2[[#This Row],[Total to be identified or replaced]]+Table2[[#This Row],[Grand Total of Lead Service Lines Replaced]]))</f>
        <v>0.13522012578616352</v>
      </c>
      <c r="N967" s="1">
        <v>31914</v>
      </c>
      <c r="O967" s="1">
        <v>36039</v>
      </c>
      <c r="P967" t="s">
        <v>2778</v>
      </c>
      <c r="Q96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67" s="1" t="s">
        <v>2783</v>
      </c>
    </row>
    <row r="968" spans="1:18" x14ac:dyDescent="0.25">
      <c r="A968" t="s">
        <v>757</v>
      </c>
      <c r="B968" t="s">
        <v>758</v>
      </c>
      <c r="C968" s="1">
        <v>1838</v>
      </c>
      <c r="D968" s="1">
        <v>6</v>
      </c>
      <c r="E968" s="1">
        <v>5</v>
      </c>
      <c r="F968" s="1">
        <v>5</v>
      </c>
      <c r="G968" s="1">
        <v>57</v>
      </c>
      <c r="H968" s="1">
        <v>73</v>
      </c>
      <c r="I968" s="1">
        <v>285</v>
      </c>
      <c r="J968" s="1">
        <v>178</v>
      </c>
      <c r="K968" s="1">
        <v>0</v>
      </c>
      <c r="L968" s="1">
        <v>463</v>
      </c>
      <c r="M968" s="6">
        <f>(Table2[[#This Row],[Grand Total of Lead Service Lines Replaced]]/(Table2[[#This Row],[Total to be identified or replaced]]+Table2[[#This Row],[Grand Total of Lead Service Lines Replaced]]))</f>
        <v>0.13619402985074627</v>
      </c>
      <c r="N968" s="1">
        <v>229</v>
      </c>
      <c r="O968" s="1">
        <v>692</v>
      </c>
      <c r="P968" t="s">
        <v>2778</v>
      </c>
      <c r="Q96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68" s="1" t="s">
        <v>2783</v>
      </c>
    </row>
    <row r="969" spans="1:18" x14ac:dyDescent="0.25">
      <c r="A969" t="s">
        <v>567</v>
      </c>
      <c r="B969" t="s">
        <v>568</v>
      </c>
      <c r="C969" s="1">
        <v>27625</v>
      </c>
      <c r="D969" s="1">
        <v>7</v>
      </c>
      <c r="E969" s="1">
        <v>37</v>
      </c>
      <c r="F969" s="1">
        <v>68</v>
      </c>
      <c r="G969" s="1">
        <v>29</v>
      </c>
      <c r="H969" s="1">
        <v>141</v>
      </c>
      <c r="I969" s="1">
        <v>315</v>
      </c>
      <c r="J969" s="1">
        <v>0</v>
      </c>
      <c r="K969" s="1">
        <v>577</v>
      </c>
      <c r="L969" s="1">
        <v>892</v>
      </c>
      <c r="M969" s="6">
        <f>(Table2[[#This Row],[Grand Total of Lead Service Lines Replaced]]/(Table2[[#This Row],[Total to be identified or replaced]]+Table2[[#This Row],[Grand Total of Lead Service Lines Replaced]]))</f>
        <v>0.13649564375605033</v>
      </c>
      <c r="N969" s="1">
        <v>10740</v>
      </c>
      <c r="O969" s="1">
        <v>11632</v>
      </c>
      <c r="P969">
        <v>2025</v>
      </c>
      <c r="Q96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69" s="1" t="s">
        <v>2783</v>
      </c>
    </row>
    <row r="970" spans="1:18" x14ac:dyDescent="0.25">
      <c r="A970" t="s">
        <v>2215</v>
      </c>
      <c r="B970" t="s">
        <v>2216</v>
      </c>
      <c r="C970" s="1">
        <v>455</v>
      </c>
      <c r="I970" s="1">
        <v>0</v>
      </c>
      <c r="J970" s="1">
        <v>0</v>
      </c>
      <c r="K970" s="1">
        <v>0</v>
      </c>
      <c r="L970" s="1">
        <v>0</v>
      </c>
      <c r="M970" s="6" t="s">
        <v>2784</v>
      </c>
      <c r="N970" s="1">
        <v>312</v>
      </c>
      <c r="O970" s="1">
        <v>312</v>
      </c>
      <c r="P970" t="s">
        <v>2778</v>
      </c>
      <c r="Q97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70" s="1" t="s">
        <v>2779</v>
      </c>
    </row>
    <row r="971" spans="1:18" x14ac:dyDescent="0.25">
      <c r="A971" t="s">
        <v>323</v>
      </c>
      <c r="B971" t="s">
        <v>324</v>
      </c>
      <c r="C971" s="1">
        <v>8977</v>
      </c>
      <c r="D971" s="1">
        <v>59</v>
      </c>
      <c r="E971" s="1">
        <v>365</v>
      </c>
      <c r="F971" s="1">
        <v>12</v>
      </c>
      <c r="G971" s="1">
        <v>12</v>
      </c>
      <c r="H971" s="1">
        <v>448</v>
      </c>
      <c r="I971" s="1">
        <v>2828</v>
      </c>
      <c r="J971" s="1">
        <v>0</v>
      </c>
      <c r="K971" s="1">
        <v>0</v>
      </c>
      <c r="L971" s="1">
        <v>2828</v>
      </c>
      <c r="M971" s="6">
        <f>(Table2[[#This Row],[Grand Total of Lead Service Lines Replaced]]/(Table2[[#This Row],[Total to be identified or replaced]]+Table2[[#This Row],[Grand Total of Lead Service Lines Replaced]]))</f>
        <v>0.13675213675213677</v>
      </c>
      <c r="N971" s="1">
        <v>686</v>
      </c>
      <c r="O971" s="1">
        <v>3514</v>
      </c>
      <c r="P971">
        <v>2019</v>
      </c>
      <c r="Q97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71" s="1" t="s">
        <v>2783</v>
      </c>
    </row>
    <row r="972" spans="1:18" x14ac:dyDescent="0.25">
      <c r="A972" t="s">
        <v>1370</v>
      </c>
      <c r="B972" t="s">
        <v>1371</v>
      </c>
      <c r="C972" s="1">
        <v>4997</v>
      </c>
      <c r="D972" s="1">
        <v>1</v>
      </c>
      <c r="E972" s="1">
        <v>1</v>
      </c>
      <c r="F972" s="1">
        <v>1</v>
      </c>
      <c r="G972" s="1">
        <v>1</v>
      </c>
      <c r="H972" s="1">
        <v>4</v>
      </c>
      <c r="I972" s="1">
        <v>23</v>
      </c>
      <c r="J972" s="1">
        <v>2</v>
      </c>
      <c r="K972" s="1">
        <v>0</v>
      </c>
      <c r="L972" s="1">
        <v>25</v>
      </c>
      <c r="M972" s="6">
        <f>(Table2[[#This Row],[Grand Total of Lead Service Lines Replaced]]/(Table2[[#This Row],[Total to be identified or replaced]]+Table2[[#This Row],[Grand Total of Lead Service Lines Replaced]]))</f>
        <v>0.13793103448275862</v>
      </c>
      <c r="N972" s="1">
        <v>1186</v>
      </c>
      <c r="O972" s="1">
        <v>1211</v>
      </c>
      <c r="P972" t="s">
        <v>2778</v>
      </c>
      <c r="Q97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72" s="1" t="s">
        <v>2783</v>
      </c>
    </row>
    <row r="973" spans="1:18" x14ac:dyDescent="0.25">
      <c r="A973" t="s">
        <v>2227</v>
      </c>
      <c r="B973" t="s">
        <v>2228</v>
      </c>
      <c r="C973" s="1">
        <v>1115</v>
      </c>
      <c r="L973" s="1">
        <v>0</v>
      </c>
      <c r="M973" s="6" t="s">
        <v>2784</v>
      </c>
      <c r="N973" s="1">
        <v>550</v>
      </c>
      <c r="O973" s="1">
        <v>550</v>
      </c>
      <c r="P973" t="s">
        <v>2778</v>
      </c>
      <c r="Q9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73" s="1" t="s">
        <v>2779</v>
      </c>
    </row>
    <row r="974" spans="1:18" x14ac:dyDescent="0.25">
      <c r="A974" t="s">
        <v>2217</v>
      </c>
      <c r="B974" t="s">
        <v>2218</v>
      </c>
      <c r="C974" s="1">
        <v>70</v>
      </c>
      <c r="I974" s="1">
        <v>0</v>
      </c>
      <c r="J974" s="1">
        <v>0</v>
      </c>
      <c r="K974" s="1">
        <v>0</v>
      </c>
      <c r="L974" s="1">
        <v>0</v>
      </c>
      <c r="M974" s="6" t="s">
        <v>2784</v>
      </c>
      <c r="N974" s="1">
        <v>1</v>
      </c>
      <c r="O974" s="1">
        <v>1</v>
      </c>
      <c r="P974" t="s">
        <v>2778</v>
      </c>
      <c r="Q97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74" s="1" t="s">
        <v>2779</v>
      </c>
    </row>
    <row r="975" spans="1:18" x14ac:dyDescent="0.25">
      <c r="A975" t="s">
        <v>667</v>
      </c>
      <c r="B975" t="s">
        <v>668</v>
      </c>
      <c r="C975" s="1">
        <v>3883</v>
      </c>
      <c r="E975" s="1">
        <v>1</v>
      </c>
      <c r="G975" s="1">
        <v>103</v>
      </c>
      <c r="H975" s="1">
        <v>104</v>
      </c>
      <c r="I975" s="1">
        <v>0</v>
      </c>
      <c r="J975" s="1">
        <v>359</v>
      </c>
      <c r="K975" s="1">
        <v>268</v>
      </c>
      <c r="L975" s="1">
        <v>627</v>
      </c>
      <c r="M975" s="6">
        <f>(Table2[[#This Row],[Grand Total of Lead Service Lines Replaced]]/(Table2[[#This Row],[Total to be identified or replaced]]+Table2[[#This Row],[Grand Total of Lead Service Lines Replaced]]))</f>
        <v>0.14227086183310533</v>
      </c>
      <c r="N975" s="1">
        <v>1081</v>
      </c>
      <c r="O975" s="1">
        <v>1708</v>
      </c>
      <c r="P975" t="s">
        <v>2778</v>
      </c>
      <c r="Q97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75" s="1" t="s">
        <v>2783</v>
      </c>
    </row>
    <row r="976" spans="1:18" x14ac:dyDescent="0.25">
      <c r="A976" t="s">
        <v>383</v>
      </c>
      <c r="B976" t="s">
        <v>384</v>
      </c>
      <c r="C976" s="1">
        <v>25369</v>
      </c>
      <c r="D976" s="1">
        <v>67</v>
      </c>
      <c r="E976" s="1">
        <v>77</v>
      </c>
      <c r="F976" s="1">
        <v>114</v>
      </c>
      <c r="G976" s="1">
        <v>88</v>
      </c>
      <c r="H976" s="1">
        <v>346</v>
      </c>
      <c r="I976" s="1">
        <v>199</v>
      </c>
      <c r="J976" s="1">
        <v>77</v>
      </c>
      <c r="K976" s="1">
        <v>1792</v>
      </c>
      <c r="L976" s="1">
        <v>2068</v>
      </c>
      <c r="M976" s="6">
        <f>(Table2[[#This Row],[Grand Total of Lead Service Lines Replaced]]/(Table2[[#This Row],[Total to be identified or replaced]]+Table2[[#This Row],[Grand Total of Lead Service Lines Replaced]]))</f>
        <v>0.14333057166528584</v>
      </c>
      <c r="N976" s="1">
        <v>6512</v>
      </c>
      <c r="O976" s="1">
        <v>8580</v>
      </c>
      <c r="P976">
        <v>2025</v>
      </c>
      <c r="Q97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76" s="1" t="s">
        <v>2783</v>
      </c>
    </row>
    <row r="977" spans="1:18" x14ac:dyDescent="0.25">
      <c r="A977" t="s">
        <v>2235</v>
      </c>
      <c r="B977" t="s">
        <v>2236</v>
      </c>
      <c r="C977" s="1">
        <v>360</v>
      </c>
      <c r="J977" s="1">
        <v>0</v>
      </c>
      <c r="K977" s="1">
        <v>0</v>
      </c>
      <c r="L977" s="1">
        <v>0</v>
      </c>
      <c r="M977" s="6" t="s">
        <v>2784</v>
      </c>
      <c r="N977" s="1">
        <v>15</v>
      </c>
      <c r="O977" s="1">
        <v>15</v>
      </c>
      <c r="P977" t="s">
        <v>2778</v>
      </c>
      <c r="Q97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77" s="1" t="s">
        <v>2779</v>
      </c>
    </row>
    <row r="978" spans="1:18" x14ac:dyDescent="0.25">
      <c r="A978" t="s">
        <v>2239</v>
      </c>
      <c r="B978" t="s">
        <v>2240</v>
      </c>
      <c r="C978" s="1">
        <v>87</v>
      </c>
      <c r="I978" s="1">
        <v>0</v>
      </c>
      <c r="J978" s="1">
        <v>0</v>
      </c>
      <c r="K978" s="1">
        <v>0</v>
      </c>
      <c r="L978" s="1">
        <v>0</v>
      </c>
      <c r="M978" s="6" t="s">
        <v>2784</v>
      </c>
      <c r="N978" s="1">
        <v>35</v>
      </c>
      <c r="O978" s="1">
        <v>35</v>
      </c>
      <c r="P978" t="s">
        <v>2778</v>
      </c>
      <c r="Q97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78" s="1" t="s">
        <v>2779</v>
      </c>
    </row>
    <row r="979" spans="1:18" x14ac:dyDescent="0.25">
      <c r="A979" t="s">
        <v>2241</v>
      </c>
      <c r="B979" t="s">
        <v>2242</v>
      </c>
      <c r="C979" s="1">
        <v>82</v>
      </c>
      <c r="I979" s="1">
        <v>0</v>
      </c>
      <c r="J979" s="1">
        <v>0</v>
      </c>
      <c r="K979" s="1">
        <v>0</v>
      </c>
      <c r="L979" s="1">
        <v>0</v>
      </c>
      <c r="M979" s="6" t="s">
        <v>2784</v>
      </c>
      <c r="N979" s="1">
        <v>26</v>
      </c>
      <c r="O979" s="1">
        <v>26</v>
      </c>
      <c r="P979" t="s">
        <v>2778</v>
      </c>
      <c r="Q9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79" s="1" t="s">
        <v>2779</v>
      </c>
    </row>
    <row r="980" spans="1:18" x14ac:dyDescent="0.25">
      <c r="A980" t="s">
        <v>657</v>
      </c>
      <c r="B980" t="s">
        <v>658</v>
      </c>
      <c r="C980" s="1">
        <v>2872</v>
      </c>
      <c r="D980" s="1">
        <v>33</v>
      </c>
      <c r="E980" s="1">
        <v>3</v>
      </c>
      <c r="F980" s="1">
        <v>1</v>
      </c>
      <c r="G980" s="1">
        <v>72</v>
      </c>
      <c r="H980" s="1">
        <v>109</v>
      </c>
      <c r="I980" s="1">
        <v>646</v>
      </c>
      <c r="J980" s="1">
        <v>0</v>
      </c>
      <c r="K980" s="1">
        <v>0</v>
      </c>
      <c r="L980" s="1">
        <v>646</v>
      </c>
      <c r="M980" s="6">
        <f>(Table2[[#This Row],[Grand Total of Lead Service Lines Replaced]]/(Table2[[#This Row],[Total to be identified or replaced]]+Table2[[#This Row],[Grand Total of Lead Service Lines Replaced]]))</f>
        <v>0.14437086092715232</v>
      </c>
      <c r="N980" s="1">
        <v>503</v>
      </c>
      <c r="O980" s="1">
        <v>1149</v>
      </c>
      <c r="P980" t="s">
        <v>2778</v>
      </c>
      <c r="Q98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80" s="1" t="s">
        <v>2783</v>
      </c>
    </row>
    <row r="981" spans="1:18" x14ac:dyDescent="0.25">
      <c r="A981" t="s">
        <v>2221</v>
      </c>
      <c r="B981" t="s">
        <v>2222</v>
      </c>
      <c r="C981" s="1">
        <v>2515</v>
      </c>
      <c r="I981" s="1">
        <v>0</v>
      </c>
      <c r="J981" s="1">
        <v>0</v>
      </c>
      <c r="K981" s="1">
        <v>0</v>
      </c>
      <c r="L981" s="1">
        <v>0</v>
      </c>
      <c r="M981" s="6" t="s">
        <v>2784</v>
      </c>
      <c r="N981" s="1">
        <v>775</v>
      </c>
      <c r="O981" s="1">
        <v>775</v>
      </c>
      <c r="P981" t="s">
        <v>2778</v>
      </c>
      <c r="Q9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81" s="1" t="s">
        <v>2779</v>
      </c>
    </row>
    <row r="982" spans="1:18" x14ac:dyDescent="0.25">
      <c r="A982" t="s">
        <v>2223</v>
      </c>
      <c r="B982" t="s">
        <v>2224</v>
      </c>
      <c r="C982" s="1">
        <v>1479</v>
      </c>
      <c r="I982" s="1">
        <v>0</v>
      </c>
      <c r="J982" s="1">
        <v>0</v>
      </c>
      <c r="K982" s="1">
        <v>0</v>
      </c>
      <c r="L982" s="1">
        <v>0</v>
      </c>
      <c r="M982" s="6" t="s">
        <v>2784</v>
      </c>
      <c r="N982" s="1">
        <v>612</v>
      </c>
      <c r="O982" s="1">
        <v>612</v>
      </c>
      <c r="P982" t="s">
        <v>2778</v>
      </c>
      <c r="Q98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82" s="1" t="s">
        <v>2779</v>
      </c>
    </row>
    <row r="983" spans="1:18" x14ac:dyDescent="0.25">
      <c r="A983" t="s">
        <v>785</v>
      </c>
      <c r="B983" t="s">
        <v>786</v>
      </c>
      <c r="C983" s="1">
        <v>2054</v>
      </c>
      <c r="E983" s="1">
        <v>3</v>
      </c>
      <c r="F983" s="1">
        <v>50</v>
      </c>
      <c r="G983" s="1">
        <v>20</v>
      </c>
      <c r="H983" s="1">
        <v>73</v>
      </c>
      <c r="I983" s="1">
        <v>0</v>
      </c>
      <c r="J983" s="1">
        <v>19</v>
      </c>
      <c r="K983" s="1">
        <v>408</v>
      </c>
      <c r="L983" s="1">
        <v>427</v>
      </c>
      <c r="M983" s="6">
        <f>(Table2[[#This Row],[Grand Total of Lead Service Lines Replaced]]/(Table2[[#This Row],[Total to be identified or replaced]]+Table2[[#This Row],[Grand Total of Lead Service Lines Replaced]]))</f>
        <v>0.14599999999999999</v>
      </c>
      <c r="N983" s="1">
        <v>524</v>
      </c>
      <c r="O983" s="1">
        <v>951</v>
      </c>
      <c r="P983" t="s">
        <v>2778</v>
      </c>
      <c r="Q98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983" s="1" t="s">
        <v>2783</v>
      </c>
    </row>
    <row r="984" spans="1:18" x14ac:dyDescent="0.25">
      <c r="A984" t="s">
        <v>2251</v>
      </c>
      <c r="B984" t="s">
        <v>2252</v>
      </c>
      <c r="C984" s="1">
        <v>50</v>
      </c>
      <c r="I984" s="1">
        <v>0</v>
      </c>
      <c r="J984" s="1">
        <v>0</v>
      </c>
      <c r="K984" s="1">
        <v>0</v>
      </c>
      <c r="L984" s="1">
        <v>0</v>
      </c>
      <c r="M984" s="6" t="s">
        <v>2784</v>
      </c>
      <c r="N984" s="1">
        <v>33</v>
      </c>
      <c r="O984" s="1">
        <v>33</v>
      </c>
      <c r="P984" t="s">
        <v>2778</v>
      </c>
      <c r="Q98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84" s="1" t="s">
        <v>2779</v>
      </c>
    </row>
    <row r="985" spans="1:18" x14ac:dyDescent="0.25">
      <c r="A985" t="s">
        <v>2255</v>
      </c>
      <c r="B985" t="s">
        <v>2256</v>
      </c>
      <c r="C985" s="1">
        <v>208</v>
      </c>
      <c r="I985" s="1">
        <v>0</v>
      </c>
      <c r="J985" s="1">
        <v>0</v>
      </c>
      <c r="K985" s="1">
        <v>0</v>
      </c>
      <c r="L985" s="1">
        <v>0</v>
      </c>
      <c r="M985" s="6" t="s">
        <v>2784</v>
      </c>
      <c r="N985" s="1">
        <v>75</v>
      </c>
      <c r="O985" s="1">
        <v>75</v>
      </c>
      <c r="P985" t="s">
        <v>2778</v>
      </c>
      <c r="Q98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85" s="1" t="s">
        <v>2779</v>
      </c>
    </row>
    <row r="986" spans="1:18" x14ac:dyDescent="0.25">
      <c r="A986" t="s">
        <v>55</v>
      </c>
      <c r="B986" t="s">
        <v>56</v>
      </c>
      <c r="L986" s="1">
        <v>0</v>
      </c>
      <c r="M986" s="6" t="s">
        <v>2784</v>
      </c>
      <c r="O986" s="1">
        <v>0</v>
      </c>
      <c r="P986" t="s">
        <v>2778</v>
      </c>
      <c r="Q986" t="s">
        <v>2788</v>
      </c>
      <c r="R986" t="s">
        <v>2788</v>
      </c>
    </row>
    <row r="987" spans="1:18" x14ac:dyDescent="0.25">
      <c r="A987" t="s">
        <v>2261</v>
      </c>
      <c r="B987" t="s">
        <v>2262</v>
      </c>
      <c r="C987" s="1">
        <v>75</v>
      </c>
      <c r="I987" s="1">
        <v>0</v>
      </c>
      <c r="J987" s="1">
        <v>0</v>
      </c>
      <c r="K987" s="1">
        <v>0</v>
      </c>
      <c r="L987" s="1">
        <v>0</v>
      </c>
      <c r="M987" s="6" t="s">
        <v>2784</v>
      </c>
      <c r="N987" s="1">
        <v>30</v>
      </c>
      <c r="O987" s="1">
        <v>30</v>
      </c>
      <c r="P987" t="s">
        <v>2778</v>
      </c>
      <c r="Q98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87" s="1" t="s">
        <v>2779</v>
      </c>
    </row>
    <row r="988" spans="1:18" x14ac:dyDescent="0.25">
      <c r="A988" t="s">
        <v>2265</v>
      </c>
      <c r="B988" t="s">
        <v>2266</v>
      </c>
      <c r="C988" s="1">
        <v>100</v>
      </c>
      <c r="L988" s="1">
        <v>0</v>
      </c>
      <c r="M988" s="6" t="s">
        <v>2784</v>
      </c>
      <c r="N988" s="1">
        <v>4</v>
      </c>
      <c r="O988" s="1">
        <v>4</v>
      </c>
      <c r="P988" t="s">
        <v>2778</v>
      </c>
      <c r="Q98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88" s="1" t="s">
        <v>2779</v>
      </c>
    </row>
    <row r="989" spans="1:18" x14ac:dyDescent="0.25">
      <c r="A989" t="s">
        <v>2269</v>
      </c>
      <c r="B989" t="s">
        <v>2270</v>
      </c>
      <c r="C989" s="1">
        <v>230</v>
      </c>
      <c r="I989" s="1">
        <v>0</v>
      </c>
      <c r="J989" s="1">
        <v>0</v>
      </c>
      <c r="K989" s="1">
        <v>0</v>
      </c>
      <c r="L989" s="1">
        <v>0</v>
      </c>
      <c r="M989" s="6" t="s">
        <v>2784</v>
      </c>
      <c r="N989" s="1">
        <v>184</v>
      </c>
      <c r="O989" s="1">
        <v>184</v>
      </c>
      <c r="P989" t="s">
        <v>2778</v>
      </c>
      <c r="Q98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89" s="1" t="s">
        <v>2779</v>
      </c>
    </row>
    <row r="990" spans="1:18" x14ac:dyDescent="0.25">
      <c r="A990" t="s">
        <v>2273</v>
      </c>
      <c r="B990" t="s">
        <v>2274</v>
      </c>
      <c r="C990" s="1">
        <v>122</v>
      </c>
      <c r="I990" s="1">
        <v>0</v>
      </c>
      <c r="J990" s="1">
        <v>0</v>
      </c>
      <c r="K990" s="1">
        <v>0</v>
      </c>
      <c r="L990" s="1">
        <v>0</v>
      </c>
      <c r="M990" s="6" t="s">
        <v>2784</v>
      </c>
      <c r="N990" s="1">
        <v>50</v>
      </c>
      <c r="O990" s="1">
        <v>50</v>
      </c>
      <c r="P990" t="s">
        <v>2778</v>
      </c>
      <c r="Q99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90" s="1" t="s">
        <v>2779</v>
      </c>
    </row>
    <row r="991" spans="1:18" x14ac:dyDescent="0.25">
      <c r="A991" t="s">
        <v>2277</v>
      </c>
      <c r="B991" t="s">
        <v>2278</v>
      </c>
      <c r="C991" s="1">
        <v>490</v>
      </c>
      <c r="L991" s="1">
        <v>0</v>
      </c>
      <c r="M991" s="6" t="s">
        <v>2784</v>
      </c>
      <c r="N991" s="1">
        <v>83</v>
      </c>
      <c r="O991" s="1">
        <v>83</v>
      </c>
      <c r="P991" t="s">
        <v>2778</v>
      </c>
      <c r="Q99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91" s="1" t="s">
        <v>2779</v>
      </c>
    </row>
    <row r="992" spans="1:18" x14ac:dyDescent="0.25">
      <c r="A992" t="s">
        <v>2281</v>
      </c>
      <c r="B992" t="s">
        <v>2282</v>
      </c>
      <c r="C992" s="1">
        <v>425</v>
      </c>
      <c r="I992" s="1">
        <v>0</v>
      </c>
      <c r="J992" s="1">
        <v>0</v>
      </c>
      <c r="K992" s="1">
        <v>0</v>
      </c>
      <c r="L992" s="1">
        <v>0</v>
      </c>
      <c r="M992" s="6" t="s">
        <v>2784</v>
      </c>
      <c r="N992" s="1">
        <v>215</v>
      </c>
      <c r="O992" s="1">
        <v>215</v>
      </c>
      <c r="P992" t="s">
        <v>2778</v>
      </c>
      <c r="Q99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92" s="1" t="s">
        <v>2779</v>
      </c>
    </row>
    <row r="993" spans="1:18" x14ac:dyDescent="0.25">
      <c r="A993" t="s">
        <v>1720</v>
      </c>
      <c r="B993" t="s">
        <v>1721</v>
      </c>
      <c r="C993" s="1">
        <v>3463</v>
      </c>
      <c r="J993" s="1">
        <v>0</v>
      </c>
      <c r="L993" s="1">
        <v>0</v>
      </c>
      <c r="M993" s="6" t="s">
        <v>2784</v>
      </c>
      <c r="P993" t="s">
        <v>2778</v>
      </c>
      <c r="Q993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993" s="1" t="s">
        <v>2782</v>
      </c>
    </row>
    <row r="994" spans="1:18" x14ac:dyDescent="0.25">
      <c r="A994" t="s">
        <v>2287</v>
      </c>
      <c r="B994" t="s">
        <v>2288</v>
      </c>
      <c r="C994" s="1">
        <v>50</v>
      </c>
      <c r="I994" s="1">
        <v>0</v>
      </c>
      <c r="J994" s="1">
        <v>0</v>
      </c>
      <c r="K994" s="1">
        <v>0</v>
      </c>
      <c r="L994" s="1">
        <v>0</v>
      </c>
      <c r="M994" s="6" t="s">
        <v>2784</v>
      </c>
      <c r="N994" s="1">
        <v>21</v>
      </c>
      <c r="O994" s="1">
        <v>21</v>
      </c>
      <c r="P994" t="s">
        <v>2778</v>
      </c>
      <c r="Q99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94" s="1" t="s">
        <v>2779</v>
      </c>
    </row>
    <row r="995" spans="1:18" x14ac:dyDescent="0.25">
      <c r="A995" t="s">
        <v>2225</v>
      </c>
      <c r="B995" t="s">
        <v>2226</v>
      </c>
      <c r="C995" s="1">
        <v>57</v>
      </c>
      <c r="I995" s="1">
        <v>0</v>
      </c>
      <c r="J995" s="1">
        <v>0</v>
      </c>
      <c r="K995" s="1">
        <v>0</v>
      </c>
      <c r="L995" s="1">
        <v>0</v>
      </c>
      <c r="M995" s="6" t="s">
        <v>2784</v>
      </c>
      <c r="N995" s="1">
        <v>3</v>
      </c>
      <c r="O995" s="1">
        <v>3</v>
      </c>
      <c r="P995" t="s">
        <v>2778</v>
      </c>
      <c r="Q99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95" s="1" t="s">
        <v>2779</v>
      </c>
    </row>
    <row r="996" spans="1:18" x14ac:dyDescent="0.25">
      <c r="A996" t="s">
        <v>2231</v>
      </c>
      <c r="B996" t="s">
        <v>2232</v>
      </c>
      <c r="C996" s="1">
        <v>55</v>
      </c>
      <c r="I996" s="1">
        <v>0</v>
      </c>
      <c r="J996" s="1">
        <v>0</v>
      </c>
      <c r="K996" s="1">
        <v>0</v>
      </c>
      <c r="L996" s="1">
        <v>0</v>
      </c>
      <c r="M996" s="6" t="s">
        <v>2784</v>
      </c>
      <c r="N996" s="1">
        <v>2</v>
      </c>
      <c r="O996" s="1">
        <v>2</v>
      </c>
      <c r="P996" t="s">
        <v>2778</v>
      </c>
      <c r="Q99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96" s="1" t="s">
        <v>2779</v>
      </c>
    </row>
    <row r="997" spans="1:18" x14ac:dyDescent="0.25">
      <c r="A997" t="s">
        <v>2229</v>
      </c>
      <c r="B997" t="s">
        <v>2230</v>
      </c>
      <c r="C997" s="1">
        <v>25</v>
      </c>
      <c r="I997" s="1">
        <v>0</v>
      </c>
      <c r="J997" s="1">
        <v>0</v>
      </c>
      <c r="K997" s="1">
        <v>0</v>
      </c>
      <c r="L997" s="1">
        <v>0</v>
      </c>
      <c r="M997" s="6" t="s">
        <v>2784</v>
      </c>
      <c r="N997" s="1">
        <v>10</v>
      </c>
      <c r="O997" s="1">
        <v>10</v>
      </c>
      <c r="P997" t="s">
        <v>2778</v>
      </c>
      <c r="Q99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97" s="1" t="s">
        <v>2779</v>
      </c>
    </row>
    <row r="998" spans="1:18" x14ac:dyDescent="0.25">
      <c r="A998" t="s">
        <v>2293</v>
      </c>
      <c r="B998" t="s">
        <v>2294</v>
      </c>
      <c r="C998" s="1">
        <v>950</v>
      </c>
      <c r="I998" s="1">
        <v>0</v>
      </c>
      <c r="J998" s="1">
        <v>0</v>
      </c>
      <c r="K998" s="1">
        <v>0</v>
      </c>
      <c r="L998" s="1">
        <v>0</v>
      </c>
      <c r="M998" s="6" t="s">
        <v>2784</v>
      </c>
      <c r="N998" s="1">
        <v>359</v>
      </c>
      <c r="O998" s="1">
        <v>359</v>
      </c>
      <c r="P998" t="s">
        <v>2778</v>
      </c>
      <c r="Q99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98" s="1" t="s">
        <v>2779</v>
      </c>
    </row>
    <row r="999" spans="1:18" x14ac:dyDescent="0.25">
      <c r="A999" t="s">
        <v>2233</v>
      </c>
      <c r="B999" t="s">
        <v>2234</v>
      </c>
      <c r="C999" s="1">
        <v>38</v>
      </c>
      <c r="I999" s="1">
        <v>0</v>
      </c>
      <c r="J999" s="1">
        <v>0</v>
      </c>
      <c r="K999" s="1">
        <v>0</v>
      </c>
      <c r="L999" s="1">
        <v>0</v>
      </c>
      <c r="M999" s="6" t="s">
        <v>2784</v>
      </c>
      <c r="N999" s="1">
        <v>19</v>
      </c>
      <c r="O999" s="1">
        <v>19</v>
      </c>
      <c r="P999" t="s">
        <v>2778</v>
      </c>
      <c r="Q9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999" s="1" t="s">
        <v>2779</v>
      </c>
    </row>
    <row r="1000" spans="1:18" x14ac:dyDescent="0.25">
      <c r="A1000" t="s">
        <v>2237</v>
      </c>
      <c r="B1000" t="s">
        <v>2238</v>
      </c>
      <c r="C1000" s="1">
        <v>24500</v>
      </c>
      <c r="I1000" s="1">
        <v>0</v>
      </c>
      <c r="J1000" s="1">
        <v>0</v>
      </c>
      <c r="K1000" s="1">
        <v>0</v>
      </c>
      <c r="L1000" s="1">
        <v>0</v>
      </c>
      <c r="M1000" s="6" t="s">
        <v>2784</v>
      </c>
      <c r="N1000" s="1">
        <v>7785</v>
      </c>
      <c r="O1000" s="1">
        <v>7785</v>
      </c>
      <c r="P1000" t="s">
        <v>2778</v>
      </c>
      <c r="Q100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00" s="1" t="s">
        <v>2779</v>
      </c>
    </row>
    <row r="1001" spans="1:18" x14ac:dyDescent="0.25">
      <c r="A1001" t="s">
        <v>2243</v>
      </c>
      <c r="B1001" t="s">
        <v>2244</v>
      </c>
      <c r="C1001" s="1">
        <v>42271</v>
      </c>
      <c r="I1001" s="1">
        <v>0</v>
      </c>
      <c r="J1001" s="1">
        <v>0</v>
      </c>
      <c r="K1001" s="1">
        <v>0</v>
      </c>
      <c r="L1001" s="1">
        <v>0</v>
      </c>
      <c r="M1001" s="6" t="s">
        <v>2784</v>
      </c>
      <c r="N1001" s="1">
        <v>12460</v>
      </c>
      <c r="O1001" s="1">
        <v>12460</v>
      </c>
      <c r="P1001" t="s">
        <v>2778</v>
      </c>
      <c r="Q100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01" s="1" t="s">
        <v>2779</v>
      </c>
    </row>
    <row r="1002" spans="1:18" x14ac:dyDescent="0.25">
      <c r="A1002" t="s">
        <v>2247</v>
      </c>
      <c r="B1002" t="s">
        <v>2248</v>
      </c>
      <c r="C1002" s="1">
        <v>3998</v>
      </c>
      <c r="I1002" s="1">
        <v>0</v>
      </c>
      <c r="J1002" s="1">
        <v>0</v>
      </c>
      <c r="K1002" s="1">
        <v>0</v>
      </c>
      <c r="L1002" s="1">
        <v>0</v>
      </c>
      <c r="M1002" s="6" t="s">
        <v>2784</v>
      </c>
      <c r="N1002" s="1">
        <v>1421</v>
      </c>
      <c r="O1002" s="1">
        <v>1421</v>
      </c>
      <c r="P1002" t="s">
        <v>2778</v>
      </c>
      <c r="Q100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02" s="1" t="s">
        <v>2779</v>
      </c>
    </row>
    <row r="1003" spans="1:18" x14ac:dyDescent="0.25">
      <c r="A1003" t="s">
        <v>2299</v>
      </c>
      <c r="B1003" t="s">
        <v>2300</v>
      </c>
      <c r="C1003" s="1">
        <v>58</v>
      </c>
      <c r="I1003" s="1">
        <v>0</v>
      </c>
      <c r="J1003" s="1">
        <v>0</v>
      </c>
      <c r="K1003" s="1">
        <v>0</v>
      </c>
      <c r="L1003" s="1">
        <v>0</v>
      </c>
      <c r="M1003" s="6" t="s">
        <v>2784</v>
      </c>
      <c r="N1003" s="1">
        <v>1</v>
      </c>
      <c r="O1003" s="1">
        <v>1</v>
      </c>
      <c r="P1003" t="s">
        <v>2778</v>
      </c>
      <c r="Q100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03" s="1" t="s">
        <v>2779</v>
      </c>
    </row>
    <row r="1004" spans="1:18" x14ac:dyDescent="0.25">
      <c r="A1004" t="s">
        <v>2301</v>
      </c>
      <c r="B1004" t="s">
        <v>2302</v>
      </c>
      <c r="C1004" s="1">
        <v>250</v>
      </c>
      <c r="I1004" s="1">
        <v>0</v>
      </c>
      <c r="J1004" s="1">
        <v>0</v>
      </c>
      <c r="K1004" s="1">
        <v>0</v>
      </c>
      <c r="L1004" s="1">
        <v>0</v>
      </c>
      <c r="M1004" s="6" t="s">
        <v>2784</v>
      </c>
      <c r="N1004" s="1">
        <v>116</v>
      </c>
      <c r="O1004" s="1">
        <v>116</v>
      </c>
      <c r="P1004" t="s">
        <v>2778</v>
      </c>
      <c r="Q100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04" s="1" t="s">
        <v>2779</v>
      </c>
    </row>
    <row r="1005" spans="1:18" x14ac:dyDescent="0.25">
      <c r="A1005" t="s">
        <v>2303</v>
      </c>
      <c r="B1005" t="s">
        <v>2304</v>
      </c>
      <c r="C1005" s="1">
        <v>60</v>
      </c>
      <c r="I1005" s="1">
        <v>0</v>
      </c>
      <c r="J1005" s="1">
        <v>0</v>
      </c>
      <c r="L1005" s="1">
        <v>0</v>
      </c>
      <c r="M1005" s="6" t="s">
        <v>2784</v>
      </c>
      <c r="N1005" s="1">
        <v>24</v>
      </c>
      <c r="O1005" s="1">
        <v>24</v>
      </c>
      <c r="P1005" t="s">
        <v>2778</v>
      </c>
      <c r="Q100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05" s="1" t="s">
        <v>2779</v>
      </c>
    </row>
    <row r="1006" spans="1:18" x14ac:dyDescent="0.25">
      <c r="A1006" t="s">
        <v>695</v>
      </c>
      <c r="B1006" t="s">
        <v>696</v>
      </c>
      <c r="C1006" s="1">
        <v>2902</v>
      </c>
      <c r="D1006" s="1">
        <v>8</v>
      </c>
      <c r="E1006" s="1">
        <v>31</v>
      </c>
      <c r="F1006" s="1">
        <v>26</v>
      </c>
      <c r="G1006" s="1">
        <v>31</v>
      </c>
      <c r="H1006" s="1">
        <v>96</v>
      </c>
      <c r="I1006" s="1">
        <v>248</v>
      </c>
      <c r="J1006" s="1">
        <v>313</v>
      </c>
      <c r="K1006" s="1">
        <v>0</v>
      </c>
      <c r="L1006" s="1">
        <v>561</v>
      </c>
      <c r="M1006" s="6">
        <f>(Table2[[#This Row],[Grand Total of Lead Service Lines Replaced]]/(Table2[[#This Row],[Total to be identified or replaced]]+Table2[[#This Row],[Grand Total of Lead Service Lines Replaced]]))</f>
        <v>0.14611872146118721</v>
      </c>
      <c r="N1006" s="1">
        <v>831</v>
      </c>
      <c r="O1006" s="1">
        <v>1392</v>
      </c>
      <c r="P1006" t="s">
        <v>2778</v>
      </c>
      <c r="Q100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06" s="1" t="s">
        <v>2783</v>
      </c>
    </row>
    <row r="1007" spans="1:18" x14ac:dyDescent="0.25">
      <c r="A1007" t="s">
        <v>2249</v>
      </c>
      <c r="B1007" t="s">
        <v>2250</v>
      </c>
      <c r="C1007" s="1">
        <v>102</v>
      </c>
      <c r="I1007" s="1">
        <v>0</v>
      </c>
      <c r="J1007" s="1">
        <v>0</v>
      </c>
      <c r="K1007" s="1">
        <v>0</v>
      </c>
      <c r="L1007" s="1">
        <v>0</v>
      </c>
      <c r="M1007" s="6" t="s">
        <v>2784</v>
      </c>
      <c r="N1007" s="1">
        <v>45</v>
      </c>
      <c r="O1007" s="1">
        <v>45</v>
      </c>
      <c r="P1007" t="s">
        <v>2778</v>
      </c>
      <c r="Q100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07" s="1" t="s">
        <v>2779</v>
      </c>
    </row>
    <row r="1008" spans="1:18" x14ac:dyDescent="0.25">
      <c r="A1008" t="s">
        <v>975</v>
      </c>
      <c r="B1008" t="s">
        <v>976</v>
      </c>
      <c r="C1008" s="1">
        <v>836</v>
      </c>
      <c r="D1008" s="1">
        <v>20</v>
      </c>
      <c r="E1008" s="1">
        <v>9</v>
      </c>
      <c r="F1008" s="1">
        <v>8</v>
      </c>
      <c r="G1008" s="1">
        <v>5</v>
      </c>
      <c r="H1008" s="1">
        <v>42</v>
      </c>
      <c r="I1008" s="1">
        <v>189</v>
      </c>
      <c r="J1008" s="1">
        <v>56</v>
      </c>
      <c r="L1008" s="1">
        <v>245</v>
      </c>
      <c r="M1008" s="6">
        <f>(Table2[[#This Row],[Grand Total of Lead Service Lines Replaced]]/(Table2[[#This Row],[Total to be identified or replaced]]+Table2[[#This Row],[Grand Total of Lead Service Lines Replaced]]))</f>
        <v>0.14634146341463414</v>
      </c>
      <c r="N1008" s="1">
        <v>260</v>
      </c>
      <c r="O1008" s="1">
        <v>505</v>
      </c>
      <c r="P1008" t="s">
        <v>2778</v>
      </c>
      <c r="Q100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08" s="1" t="s">
        <v>2783</v>
      </c>
    </row>
    <row r="1009" spans="1:18" x14ac:dyDescent="0.25">
      <c r="A1009" t="s">
        <v>295</v>
      </c>
      <c r="B1009" t="s">
        <v>296</v>
      </c>
      <c r="C1009" s="1">
        <v>9917</v>
      </c>
      <c r="D1009" s="1">
        <v>27</v>
      </c>
      <c r="E1009" s="1">
        <v>46</v>
      </c>
      <c r="F1009" s="1">
        <v>249</v>
      </c>
      <c r="G1009" s="1">
        <v>371</v>
      </c>
      <c r="H1009" s="1">
        <v>693</v>
      </c>
      <c r="I1009" s="1">
        <v>3940</v>
      </c>
      <c r="J1009" s="1">
        <v>95</v>
      </c>
      <c r="K1009" s="1">
        <v>0</v>
      </c>
      <c r="L1009" s="1">
        <v>4035</v>
      </c>
      <c r="M1009" s="6">
        <f>(Table2[[#This Row],[Grand Total of Lead Service Lines Replaced]]/(Table2[[#This Row],[Total to be identified or replaced]]+Table2[[#This Row],[Grand Total of Lead Service Lines Replaced]]))</f>
        <v>0.14657360406091371</v>
      </c>
      <c r="N1009" s="1">
        <v>1119</v>
      </c>
      <c r="O1009" s="1">
        <v>5154</v>
      </c>
      <c r="P1009" t="s">
        <v>2778</v>
      </c>
      <c r="Q100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09" s="1" t="s">
        <v>2783</v>
      </c>
    </row>
    <row r="1010" spans="1:18" x14ac:dyDescent="0.25">
      <c r="A1010" t="s">
        <v>2253</v>
      </c>
      <c r="B1010" t="s">
        <v>2254</v>
      </c>
      <c r="C1010" s="1">
        <v>173</v>
      </c>
      <c r="I1010" s="1">
        <v>0</v>
      </c>
      <c r="J1010" s="1">
        <v>0</v>
      </c>
      <c r="K1010" s="1">
        <v>0</v>
      </c>
      <c r="L1010" s="1">
        <v>0</v>
      </c>
      <c r="M1010" s="6" t="s">
        <v>2784</v>
      </c>
      <c r="N1010" s="1">
        <v>69</v>
      </c>
      <c r="O1010" s="1">
        <v>69</v>
      </c>
      <c r="P1010" t="s">
        <v>2778</v>
      </c>
      <c r="Q101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10" s="1" t="s">
        <v>2779</v>
      </c>
    </row>
    <row r="1011" spans="1:18" x14ac:dyDescent="0.25">
      <c r="A1011" t="s">
        <v>2259</v>
      </c>
      <c r="B1011" t="s">
        <v>2260</v>
      </c>
      <c r="C1011" s="1">
        <v>178</v>
      </c>
      <c r="I1011" s="1">
        <v>0</v>
      </c>
      <c r="J1011" s="1">
        <v>0</v>
      </c>
      <c r="K1011" s="1">
        <v>0</v>
      </c>
      <c r="L1011" s="1">
        <v>0</v>
      </c>
      <c r="M1011" s="6" t="s">
        <v>2784</v>
      </c>
      <c r="N1011" s="1">
        <v>74</v>
      </c>
      <c r="O1011" s="1">
        <v>74</v>
      </c>
      <c r="P1011" t="s">
        <v>2778</v>
      </c>
      <c r="Q101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11" s="1" t="s">
        <v>2779</v>
      </c>
    </row>
    <row r="1012" spans="1:18" x14ac:dyDescent="0.25">
      <c r="A1012" t="s">
        <v>1276</v>
      </c>
      <c r="B1012" t="s">
        <v>1277</v>
      </c>
      <c r="C1012" s="1">
        <v>1536</v>
      </c>
      <c r="E1012" s="1">
        <v>8</v>
      </c>
      <c r="F1012" s="1">
        <v>10</v>
      </c>
      <c r="G1012" s="1">
        <v>3</v>
      </c>
      <c r="H1012" s="1">
        <v>21</v>
      </c>
      <c r="I1012" s="1">
        <v>28</v>
      </c>
      <c r="J1012" s="1">
        <v>84</v>
      </c>
      <c r="K1012" s="1">
        <v>9</v>
      </c>
      <c r="L1012" s="1">
        <v>121</v>
      </c>
      <c r="M1012" s="6">
        <f>(Table2[[#This Row],[Grand Total of Lead Service Lines Replaced]]/(Table2[[#This Row],[Total to be identified or replaced]]+Table2[[#This Row],[Grand Total of Lead Service Lines Replaced]]))</f>
        <v>0.14788732394366197</v>
      </c>
      <c r="N1012" s="1">
        <v>466</v>
      </c>
      <c r="O1012" s="1">
        <v>587</v>
      </c>
      <c r="P1012" t="s">
        <v>2778</v>
      </c>
      <c r="Q101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12" s="1" t="s">
        <v>2783</v>
      </c>
    </row>
    <row r="1013" spans="1:18" x14ac:dyDescent="0.25">
      <c r="A1013" t="s">
        <v>871</v>
      </c>
      <c r="B1013" t="s">
        <v>872</v>
      </c>
      <c r="C1013" s="1">
        <v>3900</v>
      </c>
      <c r="D1013" s="1">
        <v>27</v>
      </c>
      <c r="E1013" s="1">
        <v>9</v>
      </c>
      <c r="F1013" s="1">
        <v>8</v>
      </c>
      <c r="G1013" s="1">
        <v>14</v>
      </c>
      <c r="H1013" s="1">
        <v>58</v>
      </c>
      <c r="I1013" s="1">
        <v>0</v>
      </c>
      <c r="J1013" s="1">
        <v>334</v>
      </c>
      <c r="K1013" s="1">
        <v>0</v>
      </c>
      <c r="L1013" s="1">
        <v>334</v>
      </c>
      <c r="M1013" s="6">
        <f>(Table2[[#This Row],[Grand Total of Lead Service Lines Replaced]]/(Table2[[#This Row],[Total to be identified or replaced]]+Table2[[#This Row],[Grand Total of Lead Service Lines Replaced]]))</f>
        <v>0.14795918367346939</v>
      </c>
      <c r="N1013" s="1">
        <v>1155</v>
      </c>
      <c r="O1013" s="1">
        <v>1489</v>
      </c>
      <c r="P1013" t="s">
        <v>2778</v>
      </c>
      <c r="Q101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13" s="1" t="s">
        <v>2783</v>
      </c>
    </row>
    <row r="1014" spans="1:18" x14ac:dyDescent="0.25">
      <c r="A1014" t="s">
        <v>2263</v>
      </c>
      <c r="B1014" t="s">
        <v>2264</v>
      </c>
      <c r="C1014" s="1">
        <v>1004</v>
      </c>
      <c r="I1014" s="1">
        <v>0</v>
      </c>
      <c r="J1014" s="1">
        <v>0</v>
      </c>
      <c r="K1014" s="1">
        <v>0</v>
      </c>
      <c r="L1014" s="1">
        <v>0</v>
      </c>
      <c r="M1014" s="6" t="s">
        <v>2784</v>
      </c>
      <c r="N1014" s="1">
        <v>736</v>
      </c>
      <c r="O1014" s="1">
        <v>736</v>
      </c>
      <c r="P1014" t="s">
        <v>2778</v>
      </c>
      <c r="Q101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14" s="1" t="s">
        <v>2779</v>
      </c>
    </row>
    <row r="1015" spans="1:18" x14ac:dyDescent="0.25">
      <c r="A1015" t="s">
        <v>2267</v>
      </c>
      <c r="B1015" t="s">
        <v>2268</v>
      </c>
      <c r="C1015" s="1">
        <v>1058</v>
      </c>
      <c r="I1015" s="1">
        <v>0</v>
      </c>
      <c r="J1015" s="1">
        <v>0</v>
      </c>
      <c r="K1015" s="1">
        <v>0</v>
      </c>
      <c r="L1015" s="1">
        <v>0</v>
      </c>
      <c r="M1015" s="6" t="s">
        <v>2784</v>
      </c>
      <c r="N1015" s="1">
        <v>612</v>
      </c>
      <c r="O1015" s="1">
        <v>612</v>
      </c>
      <c r="P1015" t="s">
        <v>2778</v>
      </c>
      <c r="Q10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15" s="1" t="s">
        <v>2779</v>
      </c>
    </row>
    <row r="1016" spans="1:18" x14ac:dyDescent="0.25">
      <c r="A1016" t="s">
        <v>1280</v>
      </c>
      <c r="B1016" t="s">
        <v>1281</v>
      </c>
      <c r="C1016" s="1">
        <v>920</v>
      </c>
      <c r="F1016" s="1">
        <v>4</v>
      </c>
      <c r="G1016" s="1">
        <v>16</v>
      </c>
      <c r="H1016" s="1">
        <v>20</v>
      </c>
      <c r="I1016" s="1">
        <v>96</v>
      </c>
      <c r="J1016" s="1">
        <v>18</v>
      </c>
      <c r="K1016" s="1">
        <v>0</v>
      </c>
      <c r="L1016" s="1">
        <v>114</v>
      </c>
      <c r="M1016" s="6">
        <f>(Table2[[#This Row],[Grand Total of Lead Service Lines Replaced]]/(Table2[[#This Row],[Total to be identified or replaced]]+Table2[[#This Row],[Grand Total of Lead Service Lines Replaced]]))</f>
        <v>0.14925373134328357</v>
      </c>
      <c r="N1016" s="1">
        <v>240</v>
      </c>
      <c r="O1016" s="1">
        <v>357</v>
      </c>
      <c r="P1016" t="s">
        <v>2778</v>
      </c>
      <c r="Q101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16" s="1" t="s">
        <v>2783</v>
      </c>
    </row>
    <row r="1017" spans="1:18" x14ac:dyDescent="0.25">
      <c r="A1017" t="s">
        <v>793</v>
      </c>
      <c r="B1017" t="s">
        <v>794</v>
      </c>
      <c r="C1017" s="1">
        <v>8252</v>
      </c>
      <c r="D1017" s="1">
        <v>5</v>
      </c>
      <c r="E1017" s="1">
        <v>27</v>
      </c>
      <c r="F1017" s="1">
        <v>13</v>
      </c>
      <c r="G1017" s="1">
        <v>28</v>
      </c>
      <c r="H1017" s="1">
        <v>73</v>
      </c>
      <c r="I1017" s="1">
        <v>415</v>
      </c>
      <c r="J1017" s="1">
        <v>0</v>
      </c>
      <c r="K1017" s="1">
        <v>0</v>
      </c>
      <c r="L1017" s="1">
        <v>415</v>
      </c>
      <c r="M1017" s="6">
        <f>(Table2[[#This Row],[Grand Total of Lead Service Lines Replaced]]/(Table2[[#This Row],[Total to be identified or replaced]]+Table2[[#This Row],[Grand Total of Lead Service Lines Replaced]]))</f>
        <v>0.14959016393442623</v>
      </c>
      <c r="N1017" s="1">
        <v>2102</v>
      </c>
      <c r="O1017" s="1">
        <v>2517</v>
      </c>
      <c r="P1017" t="s">
        <v>2778</v>
      </c>
      <c r="Q101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17" s="1" t="s">
        <v>2783</v>
      </c>
    </row>
    <row r="1018" spans="1:18" x14ac:dyDescent="0.25">
      <c r="A1018" t="s">
        <v>2319</v>
      </c>
      <c r="B1018" t="s">
        <v>2320</v>
      </c>
      <c r="C1018" s="1">
        <v>105</v>
      </c>
      <c r="L1018" s="1">
        <v>0</v>
      </c>
      <c r="M1018" s="6" t="s">
        <v>2784</v>
      </c>
      <c r="N1018" s="1">
        <v>61</v>
      </c>
      <c r="O1018" s="1">
        <v>61</v>
      </c>
      <c r="P1018" t="s">
        <v>2778</v>
      </c>
      <c r="Q101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18" s="1" t="s">
        <v>2779</v>
      </c>
    </row>
    <row r="1019" spans="1:18" x14ac:dyDescent="0.25">
      <c r="A1019" t="s">
        <v>2323</v>
      </c>
      <c r="B1019" t="s">
        <v>2324</v>
      </c>
      <c r="C1019" s="1">
        <v>623</v>
      </c>
      <c r="J1019" s="1">
        <v>0</v>
      </c>
      <c r="K1019" s="1">
        <v>0</v>
      </c>
      <c r="L1019" s="1">
        <v>0</v>
      </c>
      <c r="M1019" s="6" t="s">
        <v>2784</v>
      </c>
      <c r="N1019" s="1">
        <v>448</v>
      </c>
      <c r="O1019" s="1">
        <v>448</v>
      </c>
      <c r="P1019" t="s">
        <v>2778</v>
      </c>
      <c r="Q101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19" s="1" t="s">
        <v>2779</v>
      </c>
    </row>
    <row r="1020" spans="1:18" x14ac:dyDescent="0.25">
      <c r="A1020" t="s">
        <v>739</v>
      </c>
      <c r="B1020" t="s">
        <v>740</v>
      </c>
      <c r="C1020" s="1">
        <v>2428</v>
      </c>
      <c r="D1020" s="1">
        <v>20</v>
      </c>
      <c r="E1020" s="1">
        <v>19</v>
      </c>
      <c r="F1020" s="1">
        <v>6</v>
      </c>
      <c r="G1020" s="1">
        <v>5</v>
      </c>
      <c r="H1020" s="1">
        <v>50</v>
      </c>
      <c r="I1020" s="1">
        <v>36</v>
      </c>
      <c r="J1020" s="1">
        <v>248</v>
      </c>
      <c r="K1020" s="1">
        <v>0</v>
      </c>
      <c r="L1020" s="1">
        <v>284</v>
      </c>
      <c r="M1020" s="6">
        <f>(Table2[[#This Row],[Grand Total of Lead Service Lines Replaced]]/(Table2[[#This Row],[Total to be identified or replaced]]+Table2[[#This Row],[Grand Total of Lead Service Lines Replaced]]))</f>
        <v>0.1497005988023952</v>
      </c>
      <c r="N1020" s="1">
        <v>714</v>
      </c>
      <c r="O1020" s="1">
        <v>998</v>
      </c>
      <c r="P1020" t="s">
        <v>2778</v>
      </c>
      <c r="Q102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20" s="1" t="s">
        <v>2783</v>
      </c>
    </row>
    <row r="1021" spans="1:18" x14ac:dyDescent="0.25">
      <c r="A1021" t="s">
        <v>2271</v>
      </c>
      <c r="B1021" t="s">
        <v>2272</v>
      </c>
      <c r="C1021" s="1">
        <v>46292</v>
      </c>
      <c r="I1021" s="1">
        <v>0</v>
      </c>
      <c r="J1021" s="1">
        <v>0</v>
      </c>
      <c r="K1021" s="1">
        <v>0</v>
      </c>
      <c r="L1021" s="1">
        <v>0</v>
      </c>
      <c r="M1021" s="6" t="s">
        <v>2784</v>
      </c>
      <c r="N1021" s="1">
        <v>14801</v>
      </c>
      <c r="O1021" s="1">
        <v>14801</v>
      </c>
      <c r="P1021" t="s">
        <v>2778</v>
      </c>
      <c r="Q102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21" s="1" t="s">
        <v>2779</v>
      </c>
    </row>
    <row r="1022" spans="1:18" x14ac:dyDescent="0.25">
      <c r="A1022" t="s">
        <v>2275</v>
      </c>
      <c r="B1022" t="s">
        <v>2276</v>
      </c>
      <c r="C1022" s="1">
        <v>125</v>
      </c>
      <c r="I1022" s="1">
        <v>0</v>
      </c>
      <c r="J1022" s="1">
        <v>0</v>
      </c>
      <c r="K1022" s="1">
        <v>0</v>
      </c>
      <c r="L1022" s="1">
        <v>0</v>
      </c>
      <c r="M1022" s="6" t="s">
        <v>2784</v>
      </c>
      <c r="N1022" s="1">
        <v>51</v>
      </c>
      <c r="O1022" s="1">
        <v>51</v>
      </c>
      <c r="P1022" t="s">
        <v>2778</v>
      </c>
      <c r="Q102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22" s="1" t="s">
        <v>2779</v>
      </c>
    </row>
    <row r="1023" spans="1:18" x14ac:dyDescent="0.25">
      <c r="A1023" t="s">
        <v>2329</v>
      </c>
      <c r="B1023" t="s">
        <v>2330</v>
      </c>
      <c r="C1023" s="1">
        <v>202</v>
      </c>
      <c r="I1023" s="1">
        <v>0</v>
      </c>
      <c r="J1023" s="1">
        <v>0</v>
      </c>
      <c r="L1023" s="1">
        <v>0</v>
      </c>
      <c r="M1023" s="6" t="s">
        <v>2784</v>
      </c>
      <c r="N1023" s="1">
        <v>82</v>
      </c>
      <c r="O1023" s="1">
        <v>82</v>
      </c>
      <c r="P1023" t="s">
        <v>2778</v>
      </c>
      <c r="Q10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23" s="1" t="s">
        <v>2779</v>
      </c>
    </row>
    <row r="1024" spans="1:18" x14ac:dyDescent="0.25">
      <c r="A1024" t="s">
        <v>485</v>
      </c>
      <c r="B1024" t="s">
        <v>486</v>
      </c>
      <c r="C1024" s="1">
        <v>10412</v>
      </c>
      <c r="D1024" s="1">
        <v>10</v>
      </c>
      <c r="E1024" s="1">
        <v>26</v>
      </c>
      <c r="F1024" s="1">
        <v>191</v>
      </c>
      <c r="G1024" s="1">
        <v>12</v>
      </c>
      <c r="H1024" s="1">
        <v>239</v>
      </c>
      <c r="I1024" s="1">
        <v>1223</v>
      </c>
      <c r="J1024" s="1">
        <v>130</v>
      </c>
      <c r="K1024" s="1">
        <v>0</v>
      </c>
      <c r="L1024" s="1">
        <v>1353</v>
      </c>
      <c r="M1024" s="6">
        <f>(Table2[[#This Row],[Grand Total of Lead Service Lines Replaced]]/(Table2[[#This Row],[Total to be identified or replaced]]+Table2[[#This Row],[Grand Total of Lead Service Lines Replaced]]))</f>
        <v>0.15012562814070352</v>
      </c>
      <c r="N1024" s="1">
        <v>3121</v>
      </c>
      <c r="O1024" s="1">
        <v>4474</v>
      </c>
      <c r="P1024" t="s">
        <v>2778</v>
      </c>
      <c r="Q102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24" s="1" t="s">
        <v>2783</v>
      </c>
    </row>
    <row r="1025" spans="1:18" x14ac:dyDescent="0.25">
      <c r="A1025" t="s">
        <v>563</v>
      </c>
      <c r="B1025" t="s">
        <v>564</v>
      </c>
      <c r="C1025" s="1">
        <v>9074</v>
      </c>
      <c r="D1025" s="1">
        <v>34</v>
      </c>
      <c r="E1025" s="1">
        <v>25</v>
      </c>
      <c r="F1025" s="1">
        <v>75</v>
      </c>
      <c r="G1025" s="1">
        <v>28</v>
      </c>
      <c r="H1025" s="1">
        <v>162</v>
      </c>
      <c r="I1025" s="1">
        <v>13</v>
      </c>
      <c r="J1025" s="1">
        <v>459</v>
      </c>
      <c r="K1025" s="1">
        <v>425</v>
      </c>
      <c r="L1025" s="1">
        <v>897</v>
      </c>
      <c r="M1025" s="6">
        <f>(Table2[[#This Row],[Grand Total of Lead Service Lines Replaced]]/(Table2[[#This Row],[Total to be identified or replaced]]+Table2[[#This Row],[Grand Total of Lead Service Lines Replaced]]))</f>
        <v>0.15297450424929179</v>
      </c>
      <c r="N1025" s="1">
        <v>2840</v>
      </c>
      <c r="O1025" s="1">
        <v>3737</v>
      </c>
      <c r="P1025" t="s">
        <v>2778</v>
      </c>
      <c r="Q102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25" s="1" t="s">
        <v>2783</v>
      </c>
    </row>
    <row r="1026" spans="1:18" x14ac:dyDescent="0.25">
      <c r="A1026" t="s">
        <v>2279</v>
      </c>
      <c r="B1026" t="s">
        <v>2280</v>
      </c>
      <c r="C1026" s="1">
        <v>535</v>
      </c>
      <c r="I1026" s="1">
        <v>0</v>
      </c>
      <c r="J1026" s="1">
        <v>0</v>
      </c>
      <c r="K1026" s="1">
        <v>0</v>
      </c>
      <c r="L1026" s="1">
        <v>0</v>
      </c>
      <c r="M1026" s="6" t="s">
        <v>2784</v>
      </c>
      <c r="N1026" s="1">
        <v>225</v>
      </c>
      <c r="O1026" s="1">
        <v>225</v>
      </c>
      <c r="P1026" t="s">
        <v>2778</v>
      </c>
      <c r="Q102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26" s="1" t="s">
        <v>2779</v>
      </c>
    </row>
    <row r="1027" spans="1:18" x14ac:dyDescent="0.25">
      <c r="A1027" t="s">
        <v>2285</v>
      </c>
      <c r="B1027" t="s">
        <v>2286</v>
      </c>
      <c r="C1027" s="1">
        <v>234</v>
      </c>
      <c r="I1027" s="1">
        <v>0</v>
      </c>
      <c r="J1027" s="1">
        <v>0</v>
      </c>
      <c r="K1027" s="1">
        <v>0</v>
      </c>
      <c r="L1027" s="1">
        <v>0</v>
      </c>
      <c r="M1027" s="6" t="s">
        <v>2784</v>
      </c>
      <c r="N1027" s="1">
        <v>120</v>
      </c>
      <c r="O1027" s="1">
        <v>120</v>
      </c>
      <c r="P1027" t="s">
        <v>2778</v>
      </c>
      <c r="Q102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27" s="1" t="s">
        <v>2779</v>
      </c>
    </row>
    <row r="1028" spans="1:18" x14ac:dyDescent="0.25">
      <c r="A1028" t="s">
        <v>2289</v>
      </c>
      <c r="B1028" t="s">
        <v>2290</v>
      </c>
      <c r="C1028" s="1">
        <v>2617</v>
      </c>
      <c r="I1028" s="1">
        <v>0</v>
      </c>
      <c r="J1028" s="1">
        <v>0</v>
      </c>
      <c r="K1028" s="1">
        <v>0</v>
      </c>
      <c r="L1028" s="1">
        <v>0</v>
      </c>
      <c r="M1028" s="6" t="s">
        <v>2784</v>
      </c>
      <c r="N1028" s="1">
        <v>737</v>
      </c>
      <c r="O1028" s="1">
        <v>737</v>
      </c>
      <c r="P1028" t="s">
        <v>2778</v>
      </c>
      <c r="Q102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28" s="1" t="s">
        <v>2779</v>
      </c>
    </row>
    <row r="1029" spans="1:18" x14ac:dyDescent="0.25">
      <c r="A1029" t="s">
        <v>599</v>
      </c>
      <c r="B1029" t="s">
        <v>600</v>
      </c>
      <c r="C1029" s="1">
        <v>1316</v>
      </c>
      <c r="D1029" s="1">
        <v>5</v>
      </c>
      <c r="F1029" s="1">
        <v>1</v>
      </c>
      <c r="H1029" s="1">
        <v>6</v>
      </c>
      <c r="I1029" s="1">
        <v>4</v>
      </c>
      <c r="J1029" s="1">
        <v>29</v>
      </c>
      <c r="K1029" s="1">
        <v>0</v>
      </c>
      <c r="L1029" s="1">
        <v>33</v>
      </c>
      <c r="M1029" s="6">
        <f>(Table2[[#This Row],[Grand Total of Lead Service Lines Replaced]]/(Table2[[#This Row],[Total to be identified or replaced]]+Table2[[#This Row],[Grand Total of Lead Service Lines Replaced]]))</f>
        <v>0.15384615384615385</v>
      </c>
      <c r="N1029" s="1">
        <v>465</v>
      </c>
      <c r="O1029" s="1">
        <v>498</v>
      </c>
      <c r="P1029" t="s">
        <v>2778</v>
      </c>
      <c r="Q102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29" s="1" t="s">
        <v>2783</v>
      </c>
    </row>
    <row r="1030" spans="1:18" x14ac:dyDescent="0.25">
      <c r="A1030" t="s">
        <v>2291</v>
      </c>
      <c r="B1030" t="s">
        <v>2292</v>
      </c>
      <c r="C1030" s="1">
        <v>459</v>
      </c>
      <c r="I1030" s="1">
        <v>0</v>
      </c>
      <c r="J1030" s="1">
        <v>0</v>
      </c>
      <c r="K1030" s="1">
        <v>0</v>
      </c>
      <c r="L1030" s="1">
        <v>0</v>
      </c>
      <c r="M1030" s="6" t="s">
        <v>2784</v>
      </c>
      <c r="N1030" s="1">
        <v>169</v>
      </c>
      <c r="O1030" s="1">
        <v>169</v>
      </c>
      <c r="P1030" t="s">
        <v>2778</v>
      </c>
      <c r="Q10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30" s="1" t="s">
        <v>2779</v>
      </c>
    </row>
    <row r="1031" spans="1:18" x14ac:dyDescent="0.25">
      <c r="A1031" t="s">
        <v>2295</v>
      </c>
      <c r="B1031" t="s">
        <v>2296</v>
      </c>
      <c r="C1031" s="1">
        <v>38</v>
      </c>
      <c r="I1031" s="1">
        <v>0</v>
      </c>
      <c r="J1031" s="1">
        <v>0</v>
      </c>
      <c r="K1031" s="1">
        <v>0</v>
      </c>
      <c r="L1031" s="1">
        <v>0</v>
      </c>
      <c r="M1031" s="6" t="s">
        <v>2784</v>
      </c>
      <c r="N1031" s="1">
        <v>6</v>
      </c>
      <c r="O1031" s="1">
        <v>6</v>
      </c>
      <c r="P1031" t="s">
        <v>2778</v>
      </c>
      <c r="Q103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31" s="1" t="s">
        <v>2779</v>
      </c>
    </row>
    <row r="1032" spans="1:18" x14ac:dyDescent="0.25">
      <c r="A1032" t="s">
        <v>1734</v>
      </c>
      <c r="B1032" t="s">
        <v>1735</v>
      </c>
      <c r="C1032" s="1">
        <v>500</v>
      </c>
      <c r="I1032" s="1">
        <v>0</v>
      </c>
      <c r="J1032" s="1">
        <v>0</v>
      </c>
      <c r="K1032" s="1">
        <v>0</v>
      </c>
      <c r="L1032" s="1">
        <v>0</v>
      </c>
      <c r="M1032" s="6" t="s">
        <v>2784</v>
      </c>
      <c r="N1032" s="1">
        <v>2</v>
      </c>
      <c r="O1032" s="1">
        <v>2</v>
      </c>
      <c r="P1032" t="s">
        <v>2778</v>
      </c>
      <c r="Q10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32" s="1" t="s">
        <v>2779</v>
      </c>
    </row>
    <row r="1033" spans="1:18" x14ac:dyDescent="0.25">
      <c r="A1033" t="s">
        <v>2297</v>
      </c>
      <c r="B1033" t="s">
        <v>2298</v>
      </c>
      <c r="C1033" s="1">
        <v>38</v>
      </c>
      <c r="I1033" s="1">
        <v>0</v>
      </c>
      <c r="J1033" s="1">
        <v>0</v>
      </c>
      <c r="K1033" s="1">
        <v>0</v>
      </c>
      <c r="L1033" s="1">
        <v>0</v>
      </c>
      <c r="M1033" s="6" t="s">
        <v>2784</v>
      </c>
      <c r="N1033" s="1">
        <v>3</v>
      </c>
      <c r="O1033" s="1">
        <v>3</v>
      </c>
      <c r="P1033" t="s">
        <v>2778</v>
      </c>
      <c r="Q103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33" s="1" t="s">
        <v>2779</v>
      </c>
    </row>
    <row r="1034" spans="1:18" x14ac:dyDescent="0.25">
      <c r="A1034" t="s">
        <v>359</v>
      </c>
      <c r="B1034" t="s">
        <v>360</v>
      </c>
      <c r="C1034" s="1">
        <v>9512</v>
      </c>
      <c r="D1034" s="1">
        <v>54</v>
      </c>
      <c r="E1034" s="1">
        <v>196</v>
      </c>
      <c r="F1034" s="1">
        <v>166</v>
      </c>
      <c r="H1034" s="1">
        <v>416</v>
      </c>
      <c r="I1034" s="1">
        <v>1815</v>
      </c>
      <c r="J1034" s="1">
        <v>3</v>
      </c>
      <c r="K1034" s="1">
        <v>403</v>
      </c>
      <c r="L1034" s="1">
        <v>2221</v>
      </c>
      <c r="M1034" s="6">
        <f>(Table2[[#This Row],[Grand Total of Lead Service Lines Replaced]]/(Table2[[#This Row],[Total to be identified or replaced]]+Table2[[#This Row],[Grand Total of Lead Service Lines Replaced]]))</f>
        <v>0.15775502464922261</v>
      </c>
      <c r="N1034" s="1">
        <v>1528</v>
      </c>
      <c r="O1034" s="1">
        <v>3749</v>
      </c>
      <c r="P1034" t="s">
        <v>2778</v>
      </c>
      <c r="Q103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34" s="1" t="s">
        <v>2783</v>
      </c>
    </row>
    <row r="1035" spans="1:18" x14ac:dyDescent="0.25">
      <c r="A1035" t="s">
        <v>2353</v>
      </c>
      <c r="B1035" t="s">
        <v>2354</v>
      </c>
      <c r="C1035" s="1">
        <v>94</v>
      </c>
      <c r="I1035" s="1">
        <v>0</v>
      </c>
      <c r="J1035" s="1">
        <v>0</v>
      </c>
      <c r="K1035" s="1">
        <v>0</v>
      </c>
      <c r="L1035" s="1">
        <v>0</v>
      </c>
      <c r="M1035" s="6" t="s">
        <v>2784</v>
      </c>
      <c r="N1035" s="1">
        <v>52</v>
      </c>
      <c r="O1035" s="1">
        <v>52</v>
      </c>
      <c r="P1035" t="s">
        <v>2778</v>
      </c>
      <c r="Q103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35" s="1" t="s">
        <v>2779</v>
      </c>
    </row>
    <row r="1036" spans="1:18" x14ac:dyDescent="0.25">
      <c r="A1036" t="s">
        <v>1742</v>
      </c>
      <c r="B1036" t="s">
        <v>1743</v>
      </c>
      <c r="C1036" s="1">
        <v>73</v>
      </c>
      <c r="L1036" s="1">
        <v>0</v>
      </c>
      <c r="M1036" s="6" t="s">
        <v>2784</v>
      </c>
      <c r="P1036" t="s">
        <v>2778</v>
      </c>
      <c r="Q1036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036" s="1" t="s">
        <v>2782</v>
      </c>
    </row>
    <row r="1037" spans="1:18" x14ac:dyDescent="0.25">
      <c r="A1037" t="s">
        <v>705</v>
      </c>
      <c r="B1037" t="s">
        <v>706</v>
      </c>
      <c r="C1037" s="1">
        <v>20629</v>
      </c>
      <c r="D1037" s="1">
        <v>106</v>
      </c>
      <c r="H1037" s="1">
        <v>106</v>
      </c>
      <c r="I1037" s="1">
        <v>0</v>
      </c>
      <c r="J1037" s="1">
        <v>0</v>
      </c>
      <c r="K1037" s="1">
        <v>543</v>
      </c>
      <c r="L1037" s="1">
        <v>543</v>
      </c>
      <c r="M1037" s="6">
        <f>(Table2[[#This Row],[Grand Total of Lead Service Lines Replaced]]/(Table2[[#This Row],[Total to be identified or replaced]]+Table2[[#This Row],[Grand Total of Lead Service Lines Replaced]]))</f>
        <v>0.1633281972265023</v>
      </c>
      <c r="N1037" s="1">
        <v>5660</v>
      </c>
      <c r="O1037" s="1">
        <v>6203</v>
      </c>
      <c r="P1037">
        <v>2025</v>
      </c>
      <c r="Q103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37" s="1" t="s">
        <v>2783</v>
      </c>
    </row>
    <row r="1038" spans="1:18" x14ac:dyDescent="0.25">
      <c r="A1038" t="s">
        <v>717</v>
      </c>
      <c r="B1038" t="s">
        <v>718</v>
      </c>
      <c r="C1038" s="1">
        <v>1640</v>
      </c>
      <c r="D1038" s="1">
        <v>86</v>
      </c>
      <c r="E1038" s="1">
        <v>2</v>
      </c>
      <c r="F1038" s="1">
        <v>5</v>
      </c>
      <c r="G1038" s="1">
        <v>5</v>
      </c>
      <c r="H1038" s="1">
        <v>98</v>
      </c>
      <c r="I1038" s="1">
        <v>494</v>
      </c>
      <c r="J1038" s="1">
        <v>4</v>
      </c>
      <c r="K1038" s="1">
        <v>0</v>
      </c>
      <c r="L1038" s="1">
        <v>498</v>
      </c>
      <c r="M1038" s="6">
        <f>(Table2[[#This Row],[Grand Total of Lead Service Lines Replaced]]/(Table2[[#This Row],[Total to be identified or replaced]]+Table2[[#This Row],[Grand Total of Lead Service Lines Replaced]]))</f>
        <v>0.16442953020134229</v>
      </c>
      <c r="N1038" s="1">
        <v>155</v>
      </c>
      <c r="O1038" s="1">
        <v>653</v>
      </c>
      <c r="P1038" t="s">
        <v>2778</v>
      </c>
      <c r="Q103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38" s="1" t="s">
        <v>2783</v>
      </c>
    </row>
    <row r="1039" spans="1:18" x14ac:dyDescent="0.25">
      <c r="A1039" t="s">
        <v>2363</v>
      </c>
      <c r="B1039" t="s">
        <v>2364</v>
      </c>
      <c r="C1039" s="1">
        <v>255</v>
      </c>
      <c r="I1039" s="1">
        <v>0</v>
      </c>
      <c r="J1039" s="1">
        <v>0</v>
      </c>
      <c r="K1039" s="1">
        <v>0</v>
      </c>
      <c r="L1039" s="1">
        <v>0</v>
      </c>
      <c r="M1039" s="6" t="s">
        <v>2784</v>
      </c>
      <c r="N1039" s="1">
        <v>100</v>
      </c>
      <c r="O1039" s="1">
        <v>100</v>
      </c>
      <c r="P1039" t="s">
        <v>2778</v>
      </c>
      <c r="Q10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39" s="1" t="s">
        <v>2779</v>
      </c>
    </row>
    <row r="1040" spans="1:18" x14ac:dyDescent="0.25">
      <c r="A1040" t="s">
        <v>2307</v>
      </c>
      <c r="B1040" t="s">
        <v>2308</v>
      </c>
      <c r="C1040" s="1">
        <v>46</v>
      </c>
      <c r="I1040" s="1">
        <v>0</v>
      </c>
      <c r="J1040" s="1">
        <v>0</v>
      </c>
      <c r="K1040" s="1">
        <v>0</v>
      </c>
      <c r="L1040" s="1">
        <v>0</v>
      </c>
      <c r="M1040" s="6" t="s">
        <v>2784</v>
      </c>
      <c r="N1040" s="1">
        <v>20</v>
      </c>
      <c r="O1040" s="1">
        <v>20</v>
      </c>
      <c r="P1040" t="s">
        <v>2778</v>
      </c>
      <c r="Q10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40" s="1" t="s">
        <v>2779</v>
      </c>
    </row>
    <row r="1041" spans="1:18" x14ac:dyDescent="0.25">
      <c r="A1041" t="s">
        <v>2311</v>
      </c>
      <c r="B1041" t="s">
        <v>2312</v>
      </c>
      <c r="C1041" s="1">
        <v>1219</v>
      </c>
      <c r="I1041" s="1">
        <v>0</v>
      </c>
      <c r="J1041" s="1">
        <v>0</v>
      </c>
      <c r="K1041" s="1">
        <v>0</v>
      </c>
      <c r="L1041" s="1">
        <v>0</v>
      </c>
      <c r="M1041" s="6" t="s">
        <v>2784</v>
      </c>
      <c r="N1041" s="1">
        <v>574</v>
      </c>
      <c r="O1041" s="1">
        <v>574</v>
      </c>
      <c r="P1041" t="s">
        <v>2778</v>
      </c>
      <c r="Q10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41" s="1" t="s">
        <v>2779</v>
      </c>
    </row>
    <row r="1042" spans="1:18" x14ac:dyDescent="0.25">
      <c r="A1042" t="s">
        <v>915</v>
      </c>
      <c r="B1042" t="s">
        <v>916</v>
      </c>
      <c r="C1042" s="1">
        <v>1286</v>
      </c>
      <c r="D1042" s="1">
        <v>38</v>
      </c>
      <c r="F1042" s="1">
        <v>9</v>
      </c>
      <c r="G1042" s="1">
        <v>8</v>
      </c>
      <c r="H1042" s="1">
        <v>55</v>
      </c>
      <c r="I1042" s="1">
        <v>273</v>
      </c>
      <c r="J1042" s="1">
        <v>3</v>
      </c>
      <c r="K1042" s="1">
        <v>0</v>
      </c>
      <c r="L1042" s="1">
        <v>276</v>
      </c>
      <c r="M1042" s="6">
        <f>(Table2[[#This Row],[Grand Total of Lead Service Lines Replaced]]/(Table2[[#This Row],[Total to be identified or replaced]]+Table2[[#This Row],[Grand Total of Lead Service Lines Replaced]]))</f>
        <v>0.16616314199395771</v>
      </c>
      <c r="N1042" s="1">
        <v>607</v>
      </c>
      <c r="O1042" s="1">
        <v>883</v>
      </c>
      <c r="P1042" t="s">
        <v>2778</v>
      </c>
      <c r="Q104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42" s="1" t="s">
        <v>2783</v>
      </c>
    </row>
    <row r="1043" spans="1:18" x14ac:dyDescent="0.25">
      <c r="A1043" t="s">
        <v>1410</v>
      </c>
      <c r="B1043" t="s">
        <v>1411</v>
      </c>
      <c r="C1043" s="1">
        <v>219</v>
      </c>
      <c r="I1043" s="1">
        <v>0</v>
      </c>
      <c r="J1043" s="1">
        <v>0</v>
      </c>
      <c r="K1043" s="1">
        <v>0</v>
      </c>
      <c r="L1043" s="1">
        <v>0</v>
      </c>
      <c r="M1043" s="6" t="s">
        <v>2784</v>
      </c>
      <c r="N1043" s="1">
        <v>93</v>
      </c>
      <c r="O1043" s="1">
        <v>93</v>
      </c>
      <c r="P1043">
        <v>2025</v>
      </c>
      <c r="Q10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43" s="1" t="s">
        <v>2779</v>
      </c>
    </row>
    <row r="1044" spans="1:18" x14ac:dyDescent="0.25">
      <c r="A1044" t="s">
        <v>1292</v>
      </c>
      <c r="B1044" t="s">
        <v>1293</v>
      </c>
      <c r="C1044" s="1">
        <v>8311</v>
      </c>
      <c r="G1044" s="1">
        <v>1</v>
      </c>
      <c r="H1044" s="1">
        <v>1</v>
      </c>
      <c r="I1044" s="1">
        <v>0</v>
      </c>
      <c r="J1044" s="1">
        <v>5</v>
      </c>
      <c r="K1044" s="1">
        <v>0</v>
      </c>
      <c r="L1044" s="1">
        <v>5</v>
      </c>
      <c r="M1044" s="6">
        <f>(Table2[[#This Row],[Grand Total of Lead Service Lines Replaced]]/(Table2[[#This Row],[Total to be identified or replaced]]+Table2[[#This Row],[Grand Total of Lead Service Lines Replaced]]))</f>
        <v>0.16666666666666666</v>
      </c>
      <c r="N1044" s="1">
        <v>3305</v>
      </c>
      <c r="O1044" s="1">
        <v>3310</v>
      </c>
      <c r="P1044" t="s">
        <v>2778</v>
      </c>
      <c r="Q104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44" s="1" t="s">
        <v>2783</v>
      </c>
    </row>
    <row r="1045" spans="1:18" x14ac:dyDescent="0.25">
      <c r="A1045" t="s">
        <v>2373</v>
      </c>
      <c r="B1045" t="s">
        <v>2374</v>
      </c>
      <c r="C1045" s="1">
        <v>190</v>
      </c>
      <c r="L1045" s="1">
        <v>0</v>
      </c>
      <c r="M1045" s="6" t="s">
        <v>2784</v>
      </c>
      <c r="N1045" s="1">
        <v>125</v>
      </c>
      <c r="O1045" s="1">
        <v>125</v>
      </c>
      <c r="P1045" t="s">
        <v>2778</v>
      </c>
      <c r="Q10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45" s="1" t="s">
        <v>2779</v>
      </c>
    </row>
    <row r="1046" spans="1:18" x14ac:dyDescent="0.25">
      <c r="A1046" t="s">
        <v>2313</v>
      </c>
      <c r="B1046" t="s">
        <v>2314</v>
      </c>
      <c r="C1046" s="1">
        <v>100</v>
      </c>
      <c r="I1046" s="1">
        <v>0</v>
      </c>
      <c r="J1046" s="1">
        <v>0</v>
      </c>
      <c r="K1046" s="1">
        <v>0</v>
      </c>
      <c r="L1046" s="1">
        <v>0</v>
      </c>
      <c r="M1046" s="6" t="s">
        <v>2784</v>
      </c>
      <c r="N1046" s="1">
        <v>2</v>
      </c>
      <c r="O1046" s="1">
        <v>2</v>
      </c>
      <c r="P1046" t="s">
        <v>2778</v>
      </c>
      <c r="Q104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46" s="1" t="s">
        <v>2779</v>
      </c>
    </row>
    <row r="1047" spans="1:18" x14ac:dyDescent="0.25">
      <c r="A1047" t="s">
        <v>1943</v>
      </c>
      <c r="B1047" t="s">
        <v>1944</v>
      </c>
      <c r="C1047" s="1">
        <v>800</v>
      </c>
      <c r="D1047" s="1">
        <v>1</v>
      </c>
      <c r="G1047" s="1">
        <v>5</v>
      </c>
      <c r="H1047" s="1">
        <v>6</v>
      </c>
      <c r="I1047" s="1">
        <v>4</v>
      </c>
      <c r="J1047" s="1">
        <v>26</v>
      </c>
      <c r="K1047" s="1">
        <v>0</v>
      </c>
      <c r="L1047" s="1">
        <v>30</v>
      </c>
      <c r="M1047" s="6">
        <f>(Table2[[#This Row],[Grand Total of Lead Service Lines Replaced]]/(Table2[[#This Row],[Total to be identified or replaced]]+Table2[[#This Row],[Grand Total of Lead Service Lines Replaced]]))</f>
        <v>0.16666666666666666</v>
      </c>
      <c r="N1047" s="1">
        <v>402</v>
      </c>
      <c r="O1047" s="1">
        <v>432</v>
      </c>
      <c r="P1047" t="s">
        <v>2778</v>
      </c>
      <c r="Q104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47" s="1" t="s">
        <v>2783</v>
      </c>
    </row>
    <row r="1048" spans="1:18" x14ac:dyDescent="0.25">
      <c r="A1048" t="s">
        <v>1192</v>
      </c>
      <c r="B1048" t="s">
        <v>1193</v>
      </c>
      <c r="C1048" s="1">
        <v>192</v>
      </c>
      <c r="I1048" s="1">
        <v>0</v>
      </c>
      <c r="J1048" s="1">
        <v>0</v>
      </c>
      <c r="K1048" s="1">
        <v>0</v>
      </c>
      <c r="L1048" s="1">
        <v>0</v>
      </c>
      <c r="M1048" s="6" t="s">
        <v>2784</v>
      </c>
      <c r="N1048" s="1">
        <v>95</v>
      </c>
      <c r="O1048" s="1">
        <v>95</v>
      </c>
      <c r="P1048" t="s">
        <v>2778</v>
      </c>
      <c r="Q104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48" s="1" t="s">
        <v>2779</v>
      </c>
    </row>
    <row r="1049" spans="1:18" x14ac:dyDescent="0.25">
      <c r="A1049" t="s">
        <v>1945</v>
      </c>
      <c r="B1049" t="s">
        <v>1946</v>
      </c>
      <c r="C1049" s="1">
        <v>95</v>
      </c>
      <c r="J1049" s="1">
        <v>0</v>
      </c>
      <c r="K1049" s="1">
        <v>0</v>
      </c>
      <c r="L1049" s="1">
        <v>0</v>
      </c>
      <c r="M1049" s="6" t="s">
        <v>2784</v>
      </c>
      <c r="N1049" s="1">
        <v>38</v>
      </c>
      <c r="P1049" t="s">
        <v>2778</v>
      </c>
      <c r="Q1049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049" s="1" t="s">
        <v>2782</v>
      </c>
    </row>
    <row r="1050" spans="1:18" x14ac:dyDescent="0.25">
      <c r="A1050" t="s">
        <v>2219</v>
      </c>
      <c r="B1050" t="s">
        <v>2220</v>
      </c>
      <c r="C1050" s="1">
        <v>339</v>
      </c>
      <c r="D1050" s="1">
        <v>1</v>
      </c>
      <c r="H1050" s="1">
        <v>1</v>
      </c>
      <c r="I1050" s="1">
        <v>0</v>
      </c>
      <c r="J1050" s="1">
        <v>5</v>
      </c>
      <c r="L1050" s="1">
        <v>5</v>
      </c>
      <c r="M1050" s="6">
        <f>(Table2[[#This Row],[Grand Total of Lead Service Lines Replaced]]/(Table2[[#This Row],[Total to be identified or replaced]]+Table2[[#This Row],[Grand Total of Lead Service Lines Replaced]]))</f>
        <v>0.16666666666666666</v>
      </c>
      <c r="N1050" s="1">
        <v>121</v>
      </c>
      <c r="O1050" s="1">
        <v>126</v>
      </c>
      <c r="P1050" t="s">
        <v>2778</v>
      </c>
      <c r="Q105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50" s="1" t="s">
        <v>2783</v>
      </c>
    </row>
    <row r="1051" spans="1:18" x14ac:dyDescent="0.25">
      <c r="A1051" t="s">
        <v>1388</v>
      </c>
      <c r="B1051" t="s">
        <v>1389</v>
      </c>
      <c r="C1051" s="1">
        <v>220</v>
      </c>
      <c r="I1051" s="1">
        <v>0</v>
      </c>
      <c r="J1051" s="1">
        <v>0</v>
      </c>
      <c r="K1051" s="1">
        <v>0</v>
      </c>
      <c r="L1051" s="1">
        <v>0</v>
      </c>
      <c r="M1051" s="6" t="s">
        <v>2784</v>
      </c>
      <c r="N1051" s="1">
        <v>138</v>
      </c>
      <c r="O1051" s="1">
        <v>138</v>
      </c>
      <c r="P1051" t="s">
        <v>2778</v>
      </c>
      <c r="Q105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51" s="1" t="s">
        <v>2779</v>
      </c>
    </row>
    <row r="1052" spans="1:18" x14ac:dyDescent="0.25">
      <c r="A1052" t="s">
        <v>2315</v>
      </c>
      <c r="B1052" t="s">
        <v>2316</v>
      </c>
      <c r="C1052" s="1">
        <v>31</v>
      </c>
      <c r="I1052" s="1">
        <v>0</v>
      </c>
      <c r="J1052" s="1">
        <v>0</v>
      </c>
      <c r="K1052" s="1">
        <v>0</v>
      </c>
      <c r="L1052" s="1">
        <v>0</v>
      </c>
      <c r="M1052" s="6" t="s">
        <v>2784</v>
      </c>
      <c r="N1052" s="1">
        <v>2</v>
      </c>
      <c r="O1052" s="1">
        <v>2</v>
      </c>
      <c r="P1052" t="s">
        <v>2778</v>
      </c>
      <c r="Q10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52" s="1" t="s">
        <v>2779</v>
      </c>
    </row>
    <row r="1053" spans="1:18" x14ac:dyDescent="0.25">
      <c r="A1053" t="s">
        <v>2383</v>
      </c>
      <c r="B1053" t="s">
        <v>2384</v>
      </c>
      <c r="C1053" s="1">
        <v>1030</v>
      </c>
      <c r="I1053" s="1">
        <v>0</v>
      </c>
      <c r="J1053" s="1">
        <v>0</v>
      </c>
      <c r="K1053" s="1">
        <v>0</v>
      </c>
      <c r="L1053" s="1">
        <v>0</v>
      </c>
      <c r="M1053" s="6" t="s">
        <v>2784</v>
      </c>
      <c r="N1053" s="1">
        <v>455</v>
      </c>
      <c r="O1053" s="1">
        <v>455</v>
      </c>
      <c r="P1053" t="s">
        <v>2778</v>
      </c>
      <c r="Q10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53" s="1" t="s">
        <v>2779</v>
      </c>
    </row>
    <row r="1054" spans="1:18" x14ac:dyDescent="0.25">
      <c r="A1054" t="s">
        <v>2317</v>
      </c>
      <c r="B1054" t="s">
        <v>2318</v>
      </c>
      <c r="C1054" s="1">
        <v>266</v>
      </c>
      <c r="I1054" s="1">
        <v>0</v>
      </c>
      <c r="J1054" s="1">
        <v>0</v>
      </c>
      <c r="K1054" s="1">
        <v>0</v>
      </c>
      <c r="L1054" s="1">
        <v>0</v>
      </c>
      <c r="M1054" s="6" t="s">
        <v>2784</v>
      </c>
      <c r="N1054" s="1">
        <v>132</v>
      </c>
      <c r="O1054" s="1">
        <v>132</v>
      </c>
      <c r="P1054" t="s">
        <v>2778</v>
      </c>
      <c r="Q105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54" s="1" t="s">
        <v>2779</v>
      </c>
    </row>
    <row r="1055" spans="1:18" x14ac:dyDescent="0.25">
      <c r="A1055" t="s">
        <v>2385</v>
      </c>
      <c r="B1055" t="s">
        <v>2386</v>
      </c>
      <c r="C1055" s="1">
        <v>720</v>
      </c>
      <c r="I1055" s="1">
        <v>0</v>
      </c>
      <c r="J1055" s="1">
        <v>0</v>
      </c>
      <c r="K1055" s="1">
        <v>0</v>
      </c>
      <c r="L1055" s="1">
        <v>0</v>
      </c>
      <c r="M1055" s="6" t="s">
        <v>2784</v>
      </c>
      <c r="N1055" s="1">
        <v>288</v>
      </c>
      <c r="O1055" s="1">
        <v>288</v>
      </c>
      <c r="P1055" t="s">
        <v>2778</v>
      </c>
      <c r="Q105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55" s="1" t="s">
        <v>2779</v>
      </c>
    </row>
    <row r="1056" spans="1:18" x14ac:dyDescent="0.25">
      <c r="A1056" t="s">
        <v>275</v>
      </c>
      <c r="B1056" t="s">
        <v>276</v>
      </c>
      <c r="C1056" s="1">
        <v>11999</v>
      </c>
      <c r="E1056" s="1">
        <v>5</v>
      </c>
      <c r="H1056" s="1">
        <v>5</v>
      </c>
      <c r="I1056" s="1">
        <v>12</v>
      </c>
      <c r="J1056" s="1">
        <v>12</v>
      </c>
      <c r="K1056" s="1">
        <v>0</v>
      </c>
      <c r="L1056" s="1">
        <v>24</v>
      </c>
      <c r="M1056" s="6">
        <f>(Table2[[#This Row],[Grand Total of Lead Service Lines Replaced]]/(Table2[[#This Row],[Total to be identified or replaced]]+Table2[[#This Row],[Grand Total of Lead Service Lines Replaced]]))</f>
        <v>0.17241379310344829</v>
      </c>
      <c r="N1056" s="1">
        <v>4746</v>
      </c>
      <c r="O1056" s="1">
        <v>4770</v>
      </c>
      <c r="P1056" t="s">
        <v>2778</v>
      </c>
      <c r="Q105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56" s="1" t="s">
        <v>2783</v>
      </c>
    </row>
    <row r="1057" spans="1:18" x14ac:dyDescent="0.25">
      <c r="A1057" t="s">
        <v>2321</v>
      </c>
      <c r="B1057" t="s">
        <v>2322</v>
      </c>
      <c r="C1057" s="1">
        <v>37</v>
      </c>
      <c r="I1057" s="1">
        <v>0</v>
      </c>
      <c r="J1057" s="1">
        <v>0</v>
      </c>
      <c r="K1057" s="1">
        <v>0</v>
      </c>
      <c r="L1057" s="1">
        <v>0</v>
      </c>
      <c r="M1057" s="6" t="s">
        <v>2784</v>
      </c>
      <c r="N1057" s="1">
        <v>16</v>
      </c>
      <c r="O1057" s="1">
        <v>16</v>
      </c>
      <c r="P1057" t="s">
        <v>2778</v>
      </c>
      <c r="Q105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57" s="1" t="s">
        <v>2779</v>
      </c>
    </row>
    <row r="1058" spans="1:18" x14ac:dyDescent="0.25">
      <c r="A1058" t="s">
        <v>2045</v>
      </c>
      <c r="B1058" t="s">
        <v>2046</v>
      </c>
      <c r="C1058" s="1">
        <v>90</v>
      </c>
      <c r="I1058" s="1">
        <v>0</v>
      </c>
      <c r="J1058" s="1">
        <v>0</v>
      </c>
      <c r="K1058" s="1">
        <v>0</v>
      </c>
      <c r="L1058" s="1">
        <v>0</v>
      </c>
      <c r="M1058" s="6" t="s">
        <v>2784</v>
      </c>
      <c r="N1058" s="1">
        <v>4</v>
      </c>
      <c r="O1058" s="1">
        <v>4</v>
      </c>
      <c r="P1058" t="s">
        <v>2778</v>
      </c>
      <c r="Q105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58" s="1" t="s">
        <v>2779</v>
      </c>
    </row>
    <row r="1059" spans="1:18" x14ac:dyDescent="0.25">
      <c r="A1059" t="s">
        <v>2389</v>
      </c>
      <c r="B1059" t="s">
        <v>2390</v>
      </c>
      <c r="C1059" s="1">
        <v>180</v>
      </c>
      <c r="I1059" s="1">
        <v>0</v>
      </c>
      <c r="J1059" s="1">
        <v>0</v>
      </c>
      <c r="K1059" s="1">
        <v>0</v>
      </c>
      <c r="L1059" s="1">
        <v>0</v>
      </c>
      <c r="M1059" s="6" t="s">
        <v>2784</v>
      </c>
      <c r="N1059" s="1">
        <v>51</v>
      </c>
      <c r="O1059" s="1">
        <v>51</v>
      </c>
      <c r="P1059" t="s">
        <v>2778</v>
      </c>
      <c r="Q105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59" s="1" t="s">
        <v>2779</v>
      </c>
    </row>
    <row r="1060" spans="1:18" x14ac:dyDescent="0.25">
      <c r="A1060" t="s">
        <v>2393</v>
      </c>
      <c r="B1060" t="s">
        <v>2394</v>
      </c>
      <c r="C1060" s="1">
        <v>100</v>
      </c>
      <c r="I1060" s="1">
        <v>0</v>
      </c>
      <c r="J1060" s="1">
        <v>0</v>
      </c>
      <c r="K1060" s="1">
        <v>0</v>
      </c>
      <c r="L1060" s="1">
        <v>0</v>
      </c>
      <c r="M1060" s="6" t="s">
        <v>2784</v>
      </c>
      <c r="N1060" s="1">
        <v>43</v>
      </c>
      <c r="O1060" s="1">
        <v>43</v>
      </c>
      <c r="P1060" t="s">
        <v>2778</v>
      </c>
      <c r="Q106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60" s="1" t="s">
        <v>2779</v>
      </c>
    </row>
    <row r="1061" spans="1:18" x14ac:dyDescent="0.25">
      <c r="A1061" t="s">
        <v>2397</v>
      </c>
      <c r="B1061" t="s">
        <v>2394</v>
      </c>
      <c r="C1061" s="1">
        <v>218</v>
      </c>
      <c r="I1061" s="1">
        <v>0</v>
      </c>
      <c r="J1061" s="1">
        <v>0</v>
      </c>
      <c r="K1061" s="1">
        <v>0</v>
      </c>
      <c r="L1061" s="1">
        <v>0</v>
      </c>
      <c r="M1061" s="6" t="s">
        <v>2784</v>
      </c>
      <c r="N1061" s="1">
        <v>87</v>
      </c>
      <c r="O1061" s="1">
        <v>87</v>
      </c>
      <c r="P1061" t="s">
        <v>2778</v>
      </c>
      <c r="Q106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61" s="1" t="s">
        <v>2779</v>
      </c>
    </row>
    <row r="1062" spans="1:18" x14ac:dyDescent="0.25">
      <c r="A1062" t="s">
        <v>201</v>
      </c>
      <c r="B1062" t="s">
        <v>202</v>
      </c>
      <c r="C1062" s="1">
        <v>956</v>
      </c>
      <c r="D1062" s="1">
        <v>1</v>
      </c>
      <c r="E1062" s="1">
        <v>5</v>
      </c>
      <c r="F1062" s="1">
        <v>13</v>
      </c>
      <c r="G1062" s="1">
        <v>10</v>
      </c>
      <c r="H1062" s="1">
        <v>29</v>
      </c>
      <c r="I1062" s="1">
        <v>0</v>
      </c>
      <c r="J1062" s="1">
        <v>127</v>
      </c>
      <c r="K1062" s="1">
        <v>7</v>
      </c>
      <c r="L1062" s="1">
        <v>134</v>
      </c>
      <c r="M1062" s="6">
        <f>(Table2[[#This Row],[Grand Total of Lead Service Lines Replaced]]/(Table2[[#This Row],[Total to be identified or replaced]]+Table2[[#This Row],[Grand Total of Lead Service Lines Replaced]]))</f>
        <v>0.17791411042944785</v>
      </c>
      <c r="N1062" s="1">
        <v>313</v>
      </c>
      <c r="O1062" s="1">
        <v>447</v>
      </c>
      <c r="P1062" t="s">
        <v>2778</v>
      </c>
      <c r="Q106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62" s="1" t="s">
        <v>2783</v>
      </c>
    </row>
    <row r="1063" spans="1:18" x14ac:dyDescent="0.25">
      <c r="A1063" t="s">
        <v>2402</v>
      </c>
      <c r="B1063" t="s">
        <v>2403</v>
      </c>
      <c r="C1063" s="1">
        <v>90</v>
      </c>
      <c r="I1063" s="1">
        <v>0</v>
      </c>
      <c r="J1063" s="1">
        <v>0</v>
      </c>
      <c r="K1063" s="1">
        <v>0</v>
      </c>
      <c r="L1063" s="1">
        <v>0</v>
      </c>
      <c r="M1063" s="6" t="s">
        <v>2784</v>
      </c>
      <c r="N1063" s="1">
        <v>36</v>
      </c>
      <c r="O1063" s="1">
        <v>36</v>
      </c>
      <c r="P1063" t="s">
        <v>2778</v>
      </c>
      <c r="Q10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63" s="1" t="s">
        <v>2779</v>
      </c>
    </row>
    <row r="1064" spans="1:18" x14ac:dyDescent="0.25">
      <c r="A1064" t="s">
        <v>2404</v>
      </c>
      <c r="B1064" t="s">
        <v>2405</v>
      </c>
      <c r="C1064" s="1">
        <v>392</v>
      </c>
      <c r="I1064" s="1">
        <v>0</v>
      </c>
      <c r="J1064" s="1">
        <v>0</v>
      </c>
      <c r="K1064" s="1">
        <v>0</v>
      </c>
      <c r="L1064" s="1">
        <v>0</v>
      </c>
      <c r="M1064" s="6" t="s">
        <v>2784</v>
      </c>
      <c r="N1064" s="1">
        <v>142</v>
      </c>
      <c r="O1064" s="1">
        <v>142</v>
      </c>
      <c r="P1064" t="s">
        <v>2778</v>
      </c>
      <c r="Q106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64" s="1" t="s">
        <v>2779</v>
      </c>
    </row>
    <row r="1065" spans="1:18" x14ac:dyDescent="0.25">
      <c r="A1065" t="s">
        <v>2408</v>
      </c>
      <c r="B1065" t="s">
        <v>2409</v>
      </c>
      <c r="C1065" s="1">
        <v>137</v>
      </c>
      <c r="L1065" s="1">
        <v>0</v>
      </c>
      <c r="M1065" s="6" t="s">
        <v>2784</v>
      </c>
      <c r="N1065" s="1">
        <v>65</v>
      </c>
      <c r="O1065" s="1">
        <v>65</v>
      </c>
      <c r="P1065" t="s">
        <v>2778</v>
      </c>
      <c r="Q106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65" s="1" t="s">
        <v>2779</v>
      </c>
    </row>
    <row r="1066" spans="1:18" x14ac:dyDescent="0.25">
      <c r="A1066" t="s">
        <v>411</v>
      </c>
      <c r="B1066" t="s">
        <v>412</v>
      </c>
      <c r="C1066" s="1">
        <v>11637</v>
      </c>
      <c r="D1066" s="1">
        <v>65</v>
      </c>
      <c r="E1066" s="1">
        <v>47</v>
      </c>
      <c r="F1066" s="1">
        <v>86</v>
      </c>
      <c r="G1066" s="1">
        <v>180</v>
      </c>
      <c r="H1066" s="1">
        <v>378</v>
      </c>
      <c r="I1066" s="1">
        <v>375</v>
      </c>
      <c r="J1066" s="1">
        <v>58</v>
      </c>
      <c r="K1066" s="1">
        <v>1285</v>
      </c>
      <c r="L1066" s="1">
        <v>1718</v>
      </c>
      <c r="M1066" s="6">
        <f>(Table2[[#This Row],[Grand Total of Lead Service Lines Replaced]]/(Table2[[#This Row],[Total to be identified or replaced]]+Table2[[#This Row],[Grand Total of Lead Service Lines Replaced]]))</f>
        <v>0.18034351145038169</v>
      </c>
      <c r="N1066" s="1">
        <v>2201</v>
      </c>
      <c r="O1066" s="1">
        <v>3919</v>
      </c>
      <c r="P1066" t="s">
        <v>2778</v>
      </c>
      <c r="Q106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66" s="1" t="s">
        <v>2783</v>
      </c>
    </row>
    <row r="1067" spans="1:18" x14ac:dyDescent="0.25">
      <c r="A1067" t="s">
        <v>2325</v>
      </c>
      <c r="B1067" t="s">
        <v>2326</v>
      </c>
      <c r="C1067" s="1">
        <v>5500</v>
      </c>
      <c r="I1067" s="1">
        <v>0</v>
      </c>
      <c r="J1067" s="1">
        <v>0</v>
      </c>
      <c r="K1067" s="1">
        <v>0</v>
      </c>
      <c r="L1067" s="1">
        <v>0</v>
      </c>
      <c r="M1067" s="6" t="s">
        <v>2784</v>
      </c>
      <c r="N1067" s="1">
        <v>1747</v>
      </c>
      <c r="O1067" s="1">
        <v>1747</v>
      </c>
      <c r="P1067" t="s">
        <v>2778</v>
      </c>
      <c r="Q106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67" s="1" t="s">
        <v>2779</v>
      </c>
    </row>
    <row r="1068" spans="1:18" x14ac:dyDescent="0.25">
      <c r="A1068" t="s">
        <v>1172</v>
      </c>
      <c r="B1068" t="s">
        <v>1173</v>
      </c>
      <c r="C1068" s="1">
        <v>74000</v>
      </c>
      <c r="I1068" s="1">
        <v>0</v>
      </c>
      <c r="J1068" s="1">
        <v>0</v>
      </c>
      <c r="K1068" s="1">
        <v>0</v>
      </c>
      <c r="L1068" s="1">
        <v>0</v>
      </c>
      <c r="M1068" s="6" t="s">
        <v>2784</v>
      </c>
      <c r="N1068" s="1">
        <v>23882</v>
      </c>
      <c r="O1068" s="1">
        <v>23882</v>
      </c>
      <c r="P1068" t="s">
        <v>2778</v>
      </c>
      <c r="Q106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68" s="1" t="s">
        <v>2779</v>
      </c>
    </row>
    <row r="1069" spans="1:18" x14ac:dyDescent="0.25">
      <c r="A1069" t="s">
        <v>805</v>
      </c>
      <c r="B1069" t="s">
        <v>806</v>
      </c>
      <c r="C1069" s="1">
        <v>7160</v>
      </c>
      <c r="F1069" s="1">
        <v>42</v>
      </c>
      <c r="G1069" s="1">
        <v>47</v>
      </c>
      <c r="H1069" s="1">
        <v>89</v>
      </c>
      <c r="I1069" s="1">
        <v>44</v>
      </c>
      <c r="J1069" s="1">
        <v>357</v>
      </c>
      <c r="K1069" s="1">
        <v>0</v>
      </c>
      <c r="L1069" s="1">
        <v>401</v>
      </c>
      <c r="M1069" s="6">
        <f>(Table2[[#This Row],[Grand Total of Lead Service Lines Replaced]]/(Table2[[#This Row],[Total to be identified or replaced]]+Table2[[#This Row],[Grand Total of Lead Service Lines Replaced]]))</f>
        <v>0.1816326530612245</v>
      </c>
      <c r="N1069" s="1">
        <v>2174</v>
      </c>
      <c r="O1069" s="1">
        <v>2575</v>
      </c>
      <c r="P1069" t="s">
        <v>2778</v>
      </c>
      <c r="Q106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69" s="1" t="s">
        <v>2783</v>
      </c>
    </row>
    <row r="1070" spans="1:18" x14ac:dyDescent="0.25">
      <c r="A1070" t="s">
        <v>877</v>
      </c>
      <c r="B1070" t="s">
        <v>878</v>
      </c>
      <c r="C1070" s="1">
        <v>3831</v>
      </c>
      <c r="D1070" s="1">
        <v>7</v>
      </c>
      <c r="E1070" s="1">
        <v>5</v>
      </c>
      <c r="F1070" s="1">
        <v>39</v>
      </c>
      <c r="G1070" s="1">
        <v>23</v>
      </c>
      <c r="H1070" s="1">
        <v>74</v>
      </c>
      <c r="I1070" s="1">
        <v>224</v>
      </c>
      <c r="J1070" s="1">
        <v>107</v>
      </c>
      <c r="K1070" s="1">
        <v>0</v>
      </c>
      <c r="L1070" s="1">
        <v>331</v>
      </c>
      <c r="M1070" s="6">
        <f>(Table2[[#This Row],[Grand Total of Lead Service Lines Replaced]]/(Table2[[#This Row],[Total to be identified or replaced]]+Table2[[#This Row],[Grand Total of Lead Service Lines Replaced]]))</f>
        <v>0.18271604938271604</v>
      </c>
      <c r="N1070" s="1">
        <v>1080</v>
      </c>
      <c r="O1070" s="1">
        <v>1411</v>
      </c>
      <c r="P1070" t="s">
        <v>2778</v>
      </c>
      <c r="Q107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70" s="1" t="s">
        <v>2783</v>
      </c>
    </row>
    <row r="1071" spans="1:18" x14ac:dyDescent="0.25">
      <c r="A1071" t="s">
        <v>1474</v>
      </c>
      <c r="B1071" t="s">
        <v>1475</v>
      </c>
      <c r="C1071" s="1">
        <v>9652</v>
      </c>
      <c r="D1071" s="1">
        <v>6</v>
      </c>
      <c r="F1071" s="1">
        <v>7</v>
      </c>
      <c r="H1071" s="1">
        <v>13</v>
      </c>
      <c r="I1071" s="1">
        <v>48</v>
      </c>
      <c r="J1071" s="1">
        <v>10</v>
      </c>
      <c r="K1071" s="1">
        <v>0</v>
      </c>
      <c r="L1071" s="1">
        <v>58</v>
      </c>
      <c r="M1071" s="6">
        <f>(Table2[[#This Row],[Grand Total of Lead Service Lines Replaced]]/(Table2[[#This Row],[Total to be identified or replaced]]+Table2[[#This Row],[Grand Total of Lead Service Lines Replaced]]))</f>
        <v>0.18309859154929578</v>
      </c>
      <c r="N1071" s="1">
        <v>3587</v>
      </c>
      <c r="O1071" s="1">
        <v>3645</v>
      </c>
      <c r="P1071">
        <v>2019</v>
      </c>
      <c r="Q107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71" s="1" t="s">
        <v>2783</v>
      </c>
    </row>
    <row r="1072" spans="1:18" x14ac:dyDescent="0.25">
      <c r="A1072" t="s">
        <v>2327</v>
      </c>
      <c r="B1072" t="s">
        <v>2328</v>
      </c>
      <c r="C1072" s="1">
        <v>2827</v>
      </c>
      <c r="I1072" s="1">
        <v>0</v>
      </c>
      <c r="J1072" s="1">
        <v>0</v>
      </c>
      <c r="K1072" s="1">
        <v>0</v>
      </c>
      <c r="L1072" s="1">
        <v>0</v>
      </c>
      <c r="M1072" s="6" t="s">
        <v>2784</v>
      </c>
      <c r="N1072" s="1">
        <v>1495</v>
      </c>
      <c r="O1072" s="1">
        <v>1495</v>
      </c>
      <c r="P1072" t="s">
        <v>2778</v>
      </c>
      <c r="Q107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72" s="1" t="s">
        <v>2779</v>
      </c>
    </row>
    <row r="1073" spans="1:18" x14ac:dyDescent="0.25">
      <c r="A1073" t="s">
        <v>2331</v>
      </c>
      <c r="B1073" t="s">
        <v>2332</v>
      </c>
      <c r="C1073" s="1">
        <v>76</v>
      </c>
      <c r="I1073" s="1">
        <v>0</v>
      </c>
      <c r="J1073" s="1">
        <v>0</v>
      </c>
      <c r="K1073" s="1">
        <v>0</v>
      </c>
      <c r="L1073" s="1">
        <v>0</v>
      </c>
      <c r="M1073" s="6" t="s">
        <v>2784</v>
      </c>
      <c r="N1073" s="1">
        <v>31</v>
      </c>
      <c r="O1073" s="1">
        <v>31</v>
      </c>
      <c r="P1073" t="s">
        <v>2778</v>
      </c>
      <c r="Q10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73" s="1" t="s">
        <v>2779</v>
      </c>
    </row>
    <row r="1074" spans="1:18" x14ac:dyDescent="0.25">
      <c r="A1074" t="s">
        <v>1122</v>
      </c>
      <c r="B1074" t="s">
        <v>1123</v>
      </c>
      <c r="C1074" s="1">
        <v>18544</v>
      </c>
      <c r="D1074" s="1">
        <v>10</v>
      </c>
      <c r="E1074" s="1">
        <v>14</v>
      </c>
      <c r="F1074" s="1">
        <v>9</v>
      </c>
      <c r="G1074" s="1">
        <v>3</v>
      </c>
      <c r="H1074" s="1">
        <v>36</v>
      </c>
      <c r="I1074" s="1">
        <v>155</v>
      </c>
      <c r="J1074" s="1">
        <v>4</v>
      </c>
      <c r="K1074" s="1">
        <v>0</v>
      </c>
      <c r="L1074" s="1">
        <v>159</v>
      </c>
      <c r="M1074" s="6">
        <f>(Table2[[#This Row],[Grand Total of Lead Service Lines Replaced]]/(Table2[[#This Row],[Total to be identified or replaced]]+Table2[[#This Row],[Grand Total of Lead Service Lines Replaced]]))</f>
        <v>0.18461538461538463</v>
      </c>
      <c r="N1074" s="1">
        <v>6730</v>
      </c>
      <c r="O1074" s="1">
        <v>6885</v>
      </c>
      <c r="P1074" t="s">
        <v>2778</v>
      </c>
      <c r="Q107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74" s="1" t="s">
        <v>2783</v>
      </c>
    </row>
    <row r="1075" spans="1:18" x14ac:dyDescent="0.25">
      <c r="A1075" t="s">
        <v>473</v>
      </c>
      <c r="B1075" t="s">
        <v>474</v>
      </c>
      <c r="C1075" s="1">
        <v>5480</v>
      </c>
      <c r="D1075" s="1">
        <v>10</v>
      </c>
      <c r="E1075" s="1">
        <v>26</v>
      </c>
      <c r="F1075" s="1">
        <v>6</v>
      </c>
      <c r="G1075" s="1">
        <v>281</v>
      </c>
      <c r="H1075" s="1">
        <v>323</v>
      </c>
      <c r="I1075" s="1">
        <v>1262</v>
      </c>
      <c r="J1075" s="1">
        <v>162</v>
      </c>
      <c r="K1075" s="1">
        <v>0</v>
      </c>
      <c r="L1075" s="1">
        <v>1424</v>
      </c>
      <c r="M1075" s="6">
        <f>(Table2[[#This Row],[Grand Total of Lead Service Lines Replaced]]/(Table2[[#This Row],[Total to be identified or replaced]]+Table2[[#This Row],[Grand Total of Lead Service Lines Replaced]]))</f>
        <v>0.18488838008013739</v>
      </c>
      <c r="N1075" s="1">
        <v>1030</v>
      </c>
      <c r="O1075" s="1">
        <v>2454</v>
      </c>
      <c r="P1075" t="s">
        <v>2778</v>
      </c>
      <c r="Q107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75" s="1" t="s">
        <v>2783</v>
      </c>
    </row>
    <row r="1076" spans="1:18" x14ac:dyDescent="0.25">
      <c r="A1076" t="s">
        <v>979</v>
      </c>
      <c r="B1076" t="s">
        <v>980</v>
      </c>
      <c r="C1076" s="1">
        <v>9757</v>
      </c>
      <c r="D1076" s="1">
        <v>14</v>
      </c>
      <c r="E1076" s="1">
        <v>14</v>
      </c>
      <c r="F1076" s="1">
        <v>14</v>
      </c>
      <c r="G1076" s="1">
        <v>14</v>
      </c>
      <c r="H1076" s="1">
        <v>56</v>
      </c>
      <c r="I1076" s="1">
        <v>244</v>
      </c>
      <c r="J1076" s="1">
        <v>0</v>
      </c>
      <c r="K1076" s="1">
        <v>0</v>
      </c>
      <c r="L1076" s="1">
        <v>244</v>
      </c>
      <c r="M1076" s="6">
        <f>(Table2[[#This Row],[Grand Total of Lead Service Lines Replaced]]/(Table2[[#This Row],[Total to be identified or replaced]]+Table2[[#This Row],[Grand Total of Lead Service Lines Replaced]]))</f>
        <v>0.18666666666666668</v>
      </c>
      <c r="N1076" s="1">
        <v>3815</v>
      </c>
      <c r="O1076" s="1">
        <v>4059</v>
      </c>
      <c r="P1076" t="s">
        <v>2778</v>
      </c>
      <c r="Q107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76" s="1" t="s">
        <v>2783</v>
      </c>
    </row>
    <row r="1077" spans="1:18" x14ac:dyDescent="0.25">
      <c r="A1077" t="s">
        <v>847</v>
      </c>
      <c r="B1077" t="s">
        <v>848</v>
      </c>
      <c r="C1077" s="1">
        <v>2906</v>
      </c>
      <c r="D1077" s="1">
        <v>59</v>
      </c>
      <c r="E1077" s="1">
        <v>13</v>
      </c>
      <c r="F1077" s="1">
        <v>1</v>
      </c>
      <c r="G1077" s="1">
        <v>8</v>
      </c>
      <c r="H1077" s="1">
        <v>81</v>
      </c>
      <c r="I1077" s="1">
        <v>272</v>
      </c>
      <c r="J1077" s="1">
        <v>74</v>
      </c>
      <c r="K1077" s="1">
        <v>0</v>
      </c>
      <c r="L1077" s="1">
        <v>346</v>
      </c>
      <c r="M1077" s="6">
        <f>(Table2[[#This Row],[Grand Total of Lead Service Lines Replaced]]/(Table2[[#This Row],[Total to be identified or replaced]]+Table2[[#This Row],[Grand Total of Lead Service Lines Replaced]]))</f>
        <v>0.18969555035128804</v>
      </c>
      <c r="N1077" s="1">
        <v>1192</v>
      </c>
      <c r="O1077" s="1">
        <v>1538</v>
      </c>
      <c r="P1077" t="s">
        <v>2778</v>
      </c>
      <c r="Q107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77" s="1" t="s">
        <v>2783</v>
      </c>
    </row>
    <row r="1078" spans="1:18" x14ac:dyDescent="0.25">
      <c r="A1078" t="s">
        <v>2335</v>
      </c>
      <c r="B1078" t="s">
        <v>2336</v>
      </c>
      <c r="C1078" s="1">
        <v>180</v>
      </c>
      <c r="I1078" s="1">
        <v>0</v>
      </c>
      <c r="J1078" s="1">
        <v>0</v>
      </c>
      <c r="K1078" s="1">
        <v>0</v>
      </c>
      <c r="L1078" s="1">
        <v>0</v>
      </c>
      <c r="M1078" s="6" t="s">
        <v>2784</v>
      </c>
      <c r="N1078" s="1">
        <v>66</v>
      </c>
      <c r="O1078" s="1">
        <v>66</v>
      </c>
      <c r="P1078" t="s">
        <v>2778</v>
      </c>
      <c r="Q107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78" s="1" t="s">
        <v>2779</v>
      </c>
    </row>
    <row r="1079" spans="1:18" x14ac:dyDescent="0.25">
      <c r="A1079" t="s">
        <v>2337</v>
      </c>
      <c r="B1079" t="s">
        <v>2338</v>
      </c>
      <c r="C1079" s="1">
        <v>70</v>
      </c>
      <c r="I1079" s="1">
        <v>0</v>
      </c>
      <c r="J1079" s="1">
        <v>0</v>
      </c>
      <c r="K1079" s="1">
        <v>0</v>
      </c>
      <c r="L1079" s="1">
        <v>0</v>
      </c>
      <c r="M1079" s="6" t="s">
        <v>2784</v>
      </c>
      <c r="N1079" s="1">
        <v>3</v>
      </c>
      <c r="O1079" s="1">
        <v>3</v>
      </c>
      <c r="P1079" t="s">
        <v>2778</v>
      </c>
      <c r="Q10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79" s="1" t="s">
        <v>2779</v>
      </c>
    </row>
    <row r="1080" spans="1:18" x14ac:dyDescent="0.25">
      <c r="A1080" t="s">
        <v>2003</v>
      </c>
      <c r="B1080" t="s">
        <v>2004</v>
      </c>
      <c r="C1080" s="1">
        <v>100</v>
      </c>
      <c r="L1080" s="1">
        <v>0</v>
      </c>
      <c r="M1080" s="6" t="s">
        <v>2784</v>
      </c>
      <c r="P1080" t="s">
        <v>2778</v>
      </c>
      <c r="Q1080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080" s="1" t="s">
        <v>2782</v>
      </c>
    </row>
    <row r="1081" spans="1:18" x14ac:dyDescent="0.25">
      <c r="A1081" t="s">
        <v>2430</v>
      </c>
      <c r="B1081" t="s">
        <v>2431</v>
      </c>
      <c r="C1081" s="1">
        <v>25</v>
      </c>
      <c r="L1081" s="1">
        <v>0</v>
      </c>
      <c r="M1081" s="6" t="s">
        <v>2784</v>
      </c>
      <c r="N1081" s="1">
        <v>1</v>
      </c>
      <c r="O1081" s="1">
        <v>1</v>
      </c>
      <c r="P1081" t="s">
        <v>2778</v>
      </c>
      <c r="Q10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81" s="1" t="s">
        <v>2779</v>
      </c>
    </row>
    <row r="1082" spans="1:18" x14ac:dyDescent="0.25">
      <c r="A1082" t="s">
        <v>2339</v>
      </c>
      <c r="B1082" t="s">
        <v>2340</v>
      </c>
      <c r="C1082" s="1">
        <v>32</v>
      </c>
      <c r="I1082" s="1">
        <v>0</v>
      </c>
      <c r="J1082" s="1">
        <v>0</v>
      </c>
      <c r="K1082" s="1">
        <v>0</v>
      </c>
      <c r="L1082" s="1">
        <v>0</v>
      </c>
      <c r="M1082" s="6" t="s">
        <v>2784</v>
      </c>
      <c r="N1082" s="1">
        <v>4</v>
      </c>
      <c r="O1082" s="1">
        <v>4</v>
      </c>
      <c r="P1082" t="s">
        <v>2778</v>
      </c>
      <c r="Q108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82" s="1" t="s">
        <v>2779</v>
      </c>
    </row>
    <row r="1083" spans="1:18" x14ac:dyDescent="0.25">
      <c r="A1083" t="s">
        <v>433</v>
      </c>
      <c r="B1083" t="s">
        <v>434</v>
      </c>
      <c r="C1083" s="1">
        <v>14532</v>
      </c>
      <c r="D1083" s="1">
        <v>21</v>
      </c>
      <c r="E1083" s="1">
        <v>26</v>
      </c>
      <c r="F1083" s="1">
        <v>125</v>
      </c>
      <c r="G1083" s="1">
        <v>217</v>
      </c>
      <c r="H1083" s="1">
        <v>389</v>
      </c>
      <c r="I1083" s="1">
        <v>2</v>
      </c>
      <c r="J1083" s="1">
        <v>350</v>
      </c>
      <c r="K1083" s="1">
        <v>1239</v>
      </c>
      <c r="L1083" s="1">
        <v>1591</v>
      </c>
      <c r="M1083" s="6">
        <f>(Table2[[#This Row],[Grand Total of Lead Service Lines Replaced]]/(Table2[[#This Row],[Total to be identified or replaced]]+Table2[[#This Row],[Grand Total of Lead Service Lines Replaced]]))</f>
        <v>0.19646464646464645</v>
      </c>
      <c r="N1083" s="1">
        <v>5323</v>
      </c>
      <c r="O1083" s="1">
        <v>6914</v>
      </c>
      <c r="P1083" t="s">
        <v>2778</v>
      </c>
      <c r="Q108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83" s="7" t="s">
        <v>2786</v>
      </c>
    </row>
    <row r="1084" spans="1:18" x14ac:dyDescent="0.25">
      <c r="A1084" t="s">
        <v>2432</v>
      </c>
      <c r="B1084" t="s">
        <v>2433</v>
      </c>
      <c r="C1084" s="1">
        <v>30</v>
      </c>
      <c r="I1084" s="1">
        <v>0</v>
      </c>
      <c r="J1084" s="1">
        <v>0</v>
      </c>
      <c r="K1084" s="1">
        <v>0</v>
      </c>
      <c r="L1084" s="1">
        <v>0</v>
      </c>
      <c r="M1084" s="6" t="s">
        <v>2784</v>
      </c>
      <c r="N1084" s="1">
        <v>108</v>
      </c>
      <c r="O1084" s="1">
        <v>108</v>
      </c>
      <c r="P1084" t="s">
        <v>2778</v>
      </c>
      <c r="Q108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84" s="1" t="s">
        <v>2779</v>
      </c>
    </row>
    <row r="1085" spans="1:18" x14ac:dyDescent="0.25">
      <c r="A1085" t="s">
        <v>2436</v>
      </c>
      <c r="B1085" t="s">
        <v>2437</v>
      </c>
      <c r="C1085" s="1">
        <v>380</v>
      </c>
      <c r="I1085" s="1">
        <v>0</v>
      </c>
      <c r="J1085" s="1">
        <v>0</v>
      </c>
      <c r="K1085" s="1">
        <v>0</v>
      </c>
      <c r="L1085" s="1">
        <v>0</v>
      </c>
      <c r="M1085" s="6" t="s">
        <v>2784</v>
      </c>
      <c r="N1085" s="1">
        <v>183</v>
      </c>
      <c r="O1085" s="1">
        <v>183</v>
      </c>
      <c r="P1085" t="s">
        <v>2778</v>
      </c>
      <c r="Q108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85" s="1" t="s">
        <v>2779</v>
      </c>
    </row>
    <row r="1086" spans="1:18" x14ac:dyDescent="0.25">
      <c r="A1086" t="s">
        <v>1072</v>
      </c>
      <c r="B1086" t="s">
        <v>1073</v>
      </c>
      <c r="C1086" s="1">
        <v>3309</v>
      </c>
      <c r="D1086" s="1">
        <v>10</v>
      </c>
      <c r="E1086" s="1">
        <v>2</v>
      </c>
      <c r="F1086" s="1">
        <v>6</v>
      </c>
      <c r="G1086" s="1">
        <v>30</v>
      </c>
      <c r="H1086" s="1">
        <v>48</v>
      </c>
      <c r="I1086" s="1">
        <v>73</v>
      </c>
      <c r="J1086" s="1">
        <v>123</v>
      </c>
      <c r="K1086" s="1">
        <v>0</v>
      </c>
      <c r="L1086" s="1">
        <v>196</v>
      </c>
      <c r="M1086" s="6">
        <f>(Table2[[#This Row],[Grand Total of Lead Service Lines Replaced]]/(Table2[[#This Row],[Total to be identified or replaced]]+Table2[[#This Row],[Grand Total of Lead Service Lines Replaced]]))</f>
        <v>0.19672131147540983</v>
      </c>
      <c r="N1086" s="1">
        <v>1103</v>
      </c>
      <c r="O1086" s="1">
        <v>1299</v>
      </c>
      <c r="P1086" t="s">
        <v>2778</v>
      </c>
      <c r="Q108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86" s="7" t="s">
        <v>2786</v>
      </c>
    </row>
    <row r="1087" spans="1:18" x14ac:dyDescent="0.25">
      <c r="A1087" t="s">
        <v>1520</v>
      </c>
      <c r="B1087" t="s">
        <v>1521</v>
      </c>
      <c r="C1087" s="1">
        <v>36</v>
      </c>
      <c r="I1087" s="1">
        <v>0</v>
      </c>
      <c r="J1087" s="1">
        <v>0</v>
      </c>
      <c r="K1087" s="1">
        <v>0</v>
      </c>
      <c r="L1087" s="1">
        <v>0</v>
      </c>
      <c r="M1087" s="6" t="s">
        <v>2784</v>
      </c>
      <c r="N1087" s="1">
        <v>1</v>
      </c>
      <c r="O1087" s="1">
        <v>1</v>
      </c>
      <c r="P1087">
        <v>2025</v>
      </c>
      <c r="Q108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87" s="1" t="s">
        <v>2779</v>
      </c>
    </row>
    <row r="1088" spans="1:18" x14ac:dyDescent="0.25">
      <c r="A1088" t="s">
        <v>2343</v>
      </c>
      <c r="B1088" t="s">
        <v>2344</v>
      </c>
      <c r="C1088" s="1">
        <v>80</v>
      </c>
      <c r="I1088" s="1">
        <v>0</v>
      </c>
      <c r="J1088" s="1">
        <v>0</v>
      </c>
      <c r="K1088" s="1">
        <v>0</v>
      </c>
      <c r="L1088" s="1">
        <v>0</v>
      </c>
      <c r="M1088" s="6" t="s">
        <v>2784</v>
      </c>
      <c r="N1088" s="1">
        <v>1</v>
      </c>
      <c r="O1088" s="1">
        <v>1</v>
      </c>
      <c r="P1088" t="s">
        <v>2778</v>
      </c>
      <c r="Q108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88" s="1" t="s">
        <v>2779</v>
      </c>
    </row>
    <row r="1089" spans="1:18" x14ac:dyDescent="0.25">
      <c r="A1089" t="s">
        <v>2345</v>
      </c>
      <c r="B1089" t="s">
        <v>2346</v>
      </c>
      <c r="C1089" s="1">
        <v>250</v>
      </c>
      <c r="I1089" s="1">
        <v>0</v>
      </c>
      <c r="J1089" s="1">
        <v>0</v>
      </c>
      <c r="K1089" s="1">
        <v>0</v>
      </c>
      <c r="L1089" s="1">
        <v>0</v>
      </c>
      <c r="M1089" s="6" t="s">
        <v>2784</v>
      </c>
      <c r="N1089" s="1">
        <v>192</v>
      </c>
      <c r="O1089" s="1">
        <v>192</v>
      </c>
      <c r="P1089" t="s">
        <v>2778</v>
      </c>
      <c r="Q108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89" s="1" t="s">
        <v>2779</v>
      </c>
    </row>
    <row r="1090" spans="1:18" x14ac:dyDescent="0.25">
      <c r="A1090" t="s">
        <v>1330</v>
      </c>
      <c r="B1090" t="s">
        <v>1331</v>
      </c>
      <c r="C1090" s="1">
        <v>483</v>
      </c>
      <c r="D1090" s="1">
        <v>1</v>
      </c>
      <c r="E1090" s="1">
        <v>8</v>
      </c>
      <c r="F1090" s="1">
        <v>3</v>
      </c>
      <c r="G1090" s="1">
        <v>2</v>
      </c>
      <c r="H1090" s="1">
        <v>14</v>
      </c>
      <c r="I1090" s="1">
        <v>0</v>
      </c>
      <c r="J1090" s="1">
        <v>51</v>
      </c>
      <c r="K1090" s="1">
        <v>5</v>
      </c>
      <c r="L1090" s="1">
        <v>56</v>
      </c>
      <c r="M1090" s="6">
        <f>(Table2[[#This Row],[Grand Total of Lead Service Lines Replaced]]/(Table2[[#This Row],[Total to be identified or replaced]]+Table2[[#This Row],[Grand Total of Lead Service Lines Replaced]]))</f>
        <v>0.2</v>
      </c>
      <c r="N1090" s="1">
        <v>127</v>
      </c>
      <c r="O1090" s="1">
        <v>183</v>
      </c>
      <c r="P1090" t="s">
        <v>2778</v>
      </c>
      <c r="Q109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90" s="7" t="s">
        <v>2786</v>
      </c>
    </row>
    <row r="1091" spans="1:18" x14ac:dyDescent="0.25">
      <c r="A1091" t="s">
        <v>2446</v>
      </c>
      <c r="B1091" t="s">
        <v>2447</v>
      </c>
      <c r="C1091" s="1">
        <v>41</v>
      </c>
      <c r="I1091" s="1">
        <v>0</v>
      </c>
      <c r="J1091" s="1">
        <v>0</v>
      </c>
      <c r="K1091" s="1">
        <v>0</v>
      </c>
      <c r="L1091" s="1">
        <v>0</v>
      </c>
      <c r="M1091" s="6" t="s">
        <v>2784</v>
      </c>
      <c r="N1091" s="1">
        <v>20</v>
      </c>
      <c r="O1091" s="1">
        <v>20</v>
      </c>
      <c r="P1091" t="s">
        <v>2778</v>
      </c>
      <c r="Q109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91" s="1" t="s">
        <v>2779</v>
      </c>
    </row>
    <row r="1092" spans="1:18" x14ac:dyDescent="0.25">
      <c r="A1092" t="s">
        <v>2448</v>
      </c>
      <c r="B1092" t="s">
        <v>2449</v>
      </c>
      <c r="C1092" s="1">
        <v>108</v>
      </c>
      <c r="I1092" s="1">
        <v>0</v>
      </c>
      <c r="J1092" s="1">
        <v>0</v>
      </c>
      <c r="K1092" s="1">
        <v>0</v>
      </c>
      <c r="L1092" s="1">
        <v>0</v>
      </c>
      <c r="M1092" s="6" t="s">
        <v>2784</v>
      </c>
      <c r="N1092" s="1">
        <v>69</v>
      </c>
      <c r="O1092" s="1">
        <v>69</v>
      </c>
      <c r="P1092" t="s">
        <v>2778</v>
      </c>
      <c r="Q109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92" s="1" t="s">
        <v>2779</v>
      </c>
    </row>
    <row r="1093" spans="1:18" x14ac:dyDescent="0.25">
      <c r="A1093" t="s">
        <v>2347</v>
      </c>
      <c r="B1093" t="s">
        <v>2348</v>
      </c>
      <c r="C1093" s="1">
        <v>156</v>
      </c>
      <c r="I1093" s="1">
        <v>0</v>
      </c>
      <c r="J1093" s="1">
        <v>0</v>
      </c>
      <c r="K1093" s="1">
        <v>0</v>
      </c>
      <c r="L1093" s="1">
        <v>0</v>
      </c>
      <c r="M1093" s="6" t="s">
        <v>2784</v>
      </c>
      <c r="N1093" s="1">
        <v>230</v>
      </c>
      <c r="O1093" s="1">
        <v>230</v>
      </c>
      <c r="P1093" t="s">
        <v>2778</v>
      </c>
      <c r="Q109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93" s="1" t="s">
        <v>2779</v>
      </c>
    </row>
    <row r="1094" spans="1:18" x14ac:dyDescent="0.25">
      <c r="A1094" t="s">
        <v>2349</v>
      </c>
      <c r="B1094" t="s">
        <v>2350</v>
      </c>
      <c r="C1094" s="1">
        <v>40840</v>
      </c>
      <c r="I1094" s="1">
        <v>0</v>
      </c>
      <c r="J1094" s="1">
        <v>0</v>
      </c>
      <c r="K1094" s="1">
        <v>0</v>
      </c>
      <c r="L1094" s="1">
        <v>0</v>
      </c>
      <c r="M1094" s="6" t="s">
        <v>2784</v>
      </c>
      <c r="N1094" s="1">
        <v>15271</v>
      </c>
      <c r="O1094" s="1">
        <v>15271</v>
      </c>
      <c r="P1094" t="s">
        <v>2778</v>
      </c>
      <c r="Q109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94" s="1" t="s">
        <v>2779</v>
      </c>
    </row>
    <row r="1095" spans="1:18" x14ac:dyDescent="0.25">
      <c r="A1095" t="s">
        <v>303</v>
      </c>
      <c r="B1095" t="s">
        <v>304</v>
      </c>
      <c r="C1095" s="1">
        <v>16353</v>
      </c>
      <c r="D1095" s="1">
        <v>85</v>
      </c>
      <c r="E1095" s="1">
        <v>236</v>
      </c>
      <c r="F1095" s="1">
        <v>362</v>
      </c>
      <c r="G1095" s="1">
        <v>276</v>
      </c>
      <c r="H1095" s="1">
        <v>959</v>
      </c>
      <c r="I1095" s="1">
        <v>1950</v>
      </c>
      <c r="J1095" s="1">
        <v>1809</v>
      </c>
      <c r="K1095" s="1">
        <v>13</v>
      </c>
      <c r="L1095" s="1">
        <v>3772</v>
      </c>
      <c r="M1095" s="6">
        <f>(Table2[[#This Row],[Grand Total of Lead Service Lines Replaced]]/(Table2[[#This Row],[Total to be identified or replaced]]+Table2[[#This Row],[Grand Total of Lead Service Lines Replaced]]))</f>
        <v>0.20270555907841895</v>
      </c>
      <c r="N1095" s="1">
        <v>2873</v>
      </c>
      <c r="O1095" s="1">
        <v>6645</v>
      </c>
      <c r="P1095">
        <v>2020</v>
      </c>
      <c r="Q109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95" s="7" t="s">
        <v>2786</v>
      </c>
    </row>
    <row r="1096" spans="1:18" x14ac:dyDescent="0.25">
      <c r="A1096" t="s">
        <v>2011</v>
      </c>
      <c r="B1096" t="s">
        <v>2012</v>
      </c>
      <c r="C1096" s="1">
        <v>218</v>
      </c>
      <c r="L1096" s="1">
        <v>0</v>
      </c>
      <c r="M1096" s="6" t="s">
        <v>2784</v>
      </c>
      <c r="P1096" t="s">
        <v>2778</v>
      </c>
      <c r="Q1096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096" s="1" t="s">
        <v>2782</v>
      </c>
    </row>
    <row r="1097" spans="1:18" x14ac:dyDescent="0.25">
      <c r="A1097" t="s">
        <v>1048</v>
      </c>
      <c r="B1097" t="s">
        <v>1049</v>
      </c>
      <c r="C1097" s="1">
        <v>464</v>
      </c>
      <c r="E1097" s="1">
        <v>21</v>
      </c>
      <c r="F1097" s="1">
        <v>24</v>
      </c>
      <c r="G1097" s="1">
        <v>7</v>
      </c>
      <c r="H1097" s="1">
        <v>52</v>
      </c>
      <c r="I1097" s="1">
        <v>1</v>
      </c>
      <c r="J1097" s="1">
        <v>53</v>
      </c>
      <c r="K1097" s="1">
        <v>149</v>
      </c>
      <c r="L1097" s="1">
        <v>203</v>
      </c>
      <c r="M1097" s="6">
        <f>(Table2[[#This Row],[Grand Total of Lead Service Lines Replaced]]/(Table2[[#This Row],[Total to be identified or replaced]]+Table2[[#This Row],[Grand Total of Lead Service Lines Replaced]]))</f>
        <v>0.20392156862745098</v>
      </c>
      <c r="N1097" s="1">
        <v>65</v>
      </c>
      <c r="O1097" s="1">
        <v>268</v>
      </c>
      <c r="P1097" t="s">
        <v>2778</v>
      </c>
      <c r="Q109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097" s="7" t="s">
        <v>2786</v>
      </c>
    </row>
    <row r="1098" spans="1:18" x14ac:dyDescent="0.25">
      <c r="A1098" t="s">
        <v>2351</v>
      </c>
      <c r="B1098" t="s">
        <v>2352</v>
      </c>
      <c r="C1098" s="1">
        <v>375</v>
      </c>
      <c r="I1098" s="1">
        <v>0</v>
      </c>
      <c r="J1098" s="1">
        <v>0</v>
      </c>
      <c r="L1098" s="1">
        <v>0</v>
      </c>
      <c r="M1098" s="6" t="s">
        <v>2784</v>
      </c>
      <c r="N1098" s="1">
        <v>156</v>
      </c>
      <c r="O1098" s="1">
        <v>156</v>
      </c>
      <c r="P1098" t="s">
        <v>2778</v>
      </c>
      <c r="Q109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98" s="1" t="s">
        <v>2779</v>
      </c>
    </row>
    <row r="1099" spans="1:18" x14ac:dyDescent="0.25">
      <c r="A1099" t="s">
        <v>2355</v>
      </c>
      <c r="B1099" t="s">
        <v>2356</v>
      </c>
      <c r="C1099" s="1">
        <v>475</v>
      </c>
      <c r="I1099" s="1">
        <v>0</v>
      </c>
      <c r="J1099" s="1">
        <v>0</v>
      </c>
      <c r="K1099" s="1">
        <v>0</v>
      </c>
      <c r="L1099" s="1">
        <v>0</v>
      </c>
      <c r="M1099" s="6" t="s">
        <v>2784</v>
      </c>
      <c r="N1099" s="1">
        <v>207</v>
      </c>
      <c r="O1099" s="1">
        <v>207</v>
      </c>
      <c r="P1099" t="s">
        <v>2778</v>
      </c>
      <c r="Q10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099" s="1" t="s">
        <v>2779</v>
      </c>
    </row>
    <row r="1100" spans="1:18" x14ac:dyDescent="0.25">
      <c r="A1100" t="s">
        <v>2361</v>
      </c>
      <c r="B1100" t="s">
        <v>2362</v>
      </c>
      <c r="C1100" s="1">
        <v>360</v>
      </c>
      <c r="I1100" s="1">
        <v>0</v>
      </c>
      <c r="J1100" s="1">
        <v>0</v>
      </c>
      <c r="K1100" s="1">
        <v>0</v>
      </c>
      <c r="L1100" s="1">
        <v>0</v>
      </c>
      <c r="M1100" s="6" t="s">
        <v>2784</v>
      </c>
      <c r="N1100" s="1">
        <v>227</v>
      </c>
      <c r="O1100" s="1">
        <v>227</v>
      </c>
      <c r="P1100" t="s">
        <v>2778</v>
      </c>
      <c r="Q110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00" s="1" t="s">
        <v>2779</v>
      </c>
    </row>
    <row r="1101" spans="1:18" x14ac:dyDescent="0.25">
      <c r="A1101" t="s">
        <v>2464</v>
      </c>
      <c r="B1101" t="s">
        <v>2465</v>
      </c>
      <c r="C1101" s="1">
        <v>75</v>
      </c>
      <c r="I1101" s="1">
        <v>0</v>
      </c>
      <c r="J1101" s="1">
        <v>0</v>
      </c>
      <c r="K1101" s="1">
        <v>0</v>
      </c>
      <c r="L1101" s="1">
        <v>0</v>
      </c>
      <c r="M1101" s="6" t="s">
        <v>2784</v>
      </c>
      <c r="N1101" s="1">
        <v>50</v>
      </c>
      <c r="O1101" s="1">
        <v>50</v>
      </c>
      <c r="P1101" t="s">
        <v>2778</v>
      </c>
      <c r="Q110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01" s="1" t="s">
        <v>2779</v>
      </c>
    </row>
    <row r="1102" spans="1:18" x14ac:dyDescent="0.25">
      <c r="A1102" t="s">
        <v>2359</v>
      </c>
      <c r="B1102" t="s">
        <v>2360</v>
      </c>
      <c r="C1102" s="1">
        <v>148</v>
      </c>
      <c r="I1102" s="1">
        <v>0</v>
      </c>
      <c r="J1102" s="1">
        <v>0</v>
      </c>
      <c r="K1102" s="1">
        <v>0</v>
      </c>
      <c r="L1102" s="1">
        <v>0</v>
      </c>
      <c r="M1102" s="6" t="s">
        <v>2784</v>
      </c>
      <c r="N1102" s="1">
        <v>12</v>
      </c>
      <c r="O1102" s="1">
        <v>12</v>
      </c>
      <c r="P1102" t="s">
        <v>2778</v>
      </c>
      <c r="Q110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02" s="1" t="s">
        <v>2779</v>
      </c>
    </row>
    <row r="1103" spans="1:18" x14ac:dyDescent="0.25">
      <c r="A1103" t="s">
        <v>2468</v>
      </c>
      <c r="B1103" t="s">
        <v>2469</v>
      </c>
      <c r="C1103" s="1">
        <v>215</v>
      </c>
      <c r="I1103" s="1">
        <v>0</v>
      </c>
      <c r="J1103" s="1">
        <v>0</v>
      </c>
      <c r="K1103" s="1">
        <v>0</v>
      </c>
      <c r="L1103" s="1">
        <v>0</v>
      </c>
      <c r="M1103" s="6" t="s">
        <v>2784</v>
      </c>
      <c r="N1103" s="1">
        <v>93</v>
      </c>
      <c r="O1103" s="1">
        <v>93</v>
      </c>
      <c r="P1103" t="s">
        <v>2778</v>
      </c>
      <c r="Q110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03" s="1" t="s">
        <v>2779</v>
      </c>
    </row>
    <row r="1104" spans="1:18" x14ac:dyDescent="0.25">
      <c r="A1104" t="s">
        <v>2365</v>
      </c>
      <c r="B1104" t="s">
        <v>2366</v>
      </c>
      <c r="C1104" s="1">
        <v>2679</v>
      </c>
      <c r="F1104" s="1">
        <v>2</v>
      </c>
      <c r="G1104" s="1">
        <v>4</v>
      </c>
      <c r="H1104" s="1">
        <v>6</v>
      </c>
      <c r="I1104" s="1">
        <v>0</v>
      </c>
      <c r="J1104" s="1">
        <v>0</v>
      </c>
      <c r="K1104" s="1">
        <v>0</v>
      </c>
      <c r="L1104" s="1">
        <v>0</v>
      </c>
      <c r="M1104" s="6">
        <f>(Table2[[#This Row],[Grand Total of Lead Service Lines Replaced]]/(Table2[[#This Row],[Total to be identified or replaced]]+Table2[[#This Row],[Grand Total of Lead Service Lines Replaced]]))</f>
        <v>1</v>
      </c>
      <c r="N1104" s="1">
        <v>1043</v>
      </c>
      <c r="O1104" s="1">
        <v>1043</v>
      </c>
      <c r="P1104" t="s">
        <v>2778</v>
      </c>
      <c r="Q1104" t="s">
        <v>2785</v>
      </c>
      <c r="R1104" s="7" t="s">
        <v>2786</v>
      </c>
    </row>
    <row r="1105" spans="1:18" x14ac:dyDescent="0.25">
      <c r="A1105" t="s">
        <v>1340</v>
      </c>
      <c r="B1105" t="s">
        <v>1341</v>
      </c>
      <c r="C1105" s="1">
        <v>1864</v>
      </c>
      <c r="D1105" s="1">
        <v>2</v>
      </c>
      <c r="E1105" s="1">
        <v>1</v>
      </c>
      <c r="F1105" s="1">
        <v>16</v>
      </c>
      <c r="G1105" s="1">
        <v>9</v>
      </c>
      <c r="H1105" s="1">
        <v>28</v>
      </c>
      <c r="I1105" s="1">
        <v>7</v>
      </c>
      <c r="J1105" s="1">
        <v>3</v>
      </c>
      <c r="K1105" s="1">
        <v>97</v>
      </c>
      <c r="L1105" s="1">
        <v>107</v>
      </c>
      <c r="M1105" s="6">
        <f>(Table2[[#This Row],[Grand Total of Lead Service Lines Replaced]]/(Table2[[#This Row],[Total to be identified or replaced]]+Table2[[#This Row],[Grand Total of Lead Service Lines Replaced]]))</f>
        <v>0.2074074074074074</v>
      </c>
      <c r="N1105" s="1">
        <v>659</v>
      </c>
      <c r="O1105" s="1">
        <v>766</v>
      </c>
      <c r="P1105">
        <v>2020</v>
      </c>
      <c r="Q110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05" s="7" t="s">
        <v>2786</v>
      </c>
    </row>
    <row r="1106" spans="1:18" x14ac:dyDescent="0.25">
      <c r="A1106" t="s">
        <v>2367</v>
      </c>
      <c r="B1106" t="s">
        <v>2368</v>
      </c>
      <c r="C1106" s="1">
        <v>674</v>
      </c>
      <c r="I1106" s="1">
        <v>0</v>
      </c>
      <c r="J1106" s="1">
        <v>0</v>
      </c>
      <c r="K1106" s="1">
        <v>0</v>
      </c>
      <c r="L1106" s="1">
        <v>0</v>
      </c>
      <c r="M1106" s="6" t="s">
        <v>2784</v>
      </c>
      <c r="N1106" s="1">
        <v>523</v>
      </c>
      <c r="O1106" s="1">
        <v>523</v>
      </c>
      <c r="P1106" t="s">
        <v>2778</v>
      </c>
      <c r="Q110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06" s="1" t="s">
        <v>2779</v>
      </c>
    </row>
    <row r="1107" spans="1:18" x14ac:dyDescent="0.25">
      <c r="A1107" t="s">
        <v>2477</v>
      </c>
      <c r="B1107" t="s">
        <v>2478</v>
      </c>
      <c r="C1107" s="1">
        <v>138</v>
      </c>
      <c r="I1107" s="1">
        <v>0</v>
      </c>
      <c r="J1107" s="1">
        <v>0</v>
      </c>
      <c r="K1107" s="1">
        <v>0</v>
      </c>
      <c r="L1107" s="1">
        <v>0</v>
      </c>
      <c r="M1107" s="6" t="s">
        <v>2784</v>
      </c>
      <c r="N1107" s="1">
        <v>55</v>
      </c>
      <c r="O1107" s="1">
        <v>55</v>
      </c>
      <c r="P1107" t="s">
        <v>2778</v>
      </c>
      <c r="Q110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07" s="1" t="s">
        <v>2779</v>
      </c>
    </row>
    <row r="1108" spans="1:18" x14ac:dyDescent="0.25">
      <c r="A1108" t="s">
        <v>325</v>
      </c>
      <c r="B1108" t="s">
        <v>326</v>
      </c>
      <c r="C1108" s="1">
        <v>12851</v>
      </c>
      <c r="D1108" s="1">
        <v>53</v>
      </c>
      <c r="E1108" s="1">
        <v>244</v>
      </c>
      <c r="F1108" s="1">
        <v>407</v>
      </c>
      <c r="G1108" s="1">
        <v>39</v>
      </c>
      <c r="H1108" s="1">
        <v>743</v>
      </c>
      <c r="I1108" s="1">
        <v>8</v>
      </c>
      <c r="J1108" s="1">
        <v>1</v>
      </c>
      <c r="K1108" s="1">
        <v>2750</v>
      </c>
      <c r="L1108" s="1">
        <v>2759</v>
      </c>
      <c r="M1108" s="6">
        <f>(Table2[[#This Row],[Grand Total of Lead Service Lines Replaced]]/(Table2[[#This Row],[Total to be identified or replaced]]+Table2[[#This Row],[Grand Total of Lead Service Lines Replaced]]))</f>
        <v>0.21216447744146202</v>
      </c>
      <c r="N1108" s="1">
        <v>1135</v>
      </c>
      <c r="O1108" s="1">
        <v>3894</v>
      </c>
      <c r="P1108">
        <v>2019</v>
      </c>
      <c r="Q110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08" s="7" t="s">
        <v>2786</v>
      </c>
    </row>
    <row r="1109" spans="1:18" x14ac:dyDescent="0.25">
      <c r="A1109" t="s">
        <v>2481</v>
      </c>
      <c r="B1109" t="s">
        <v>2482</v>
      </c>
      <c r="C1109" s="1">
        <v>1278</v>
      </c>
      <c r="L1109" s="1">
        <v>0</v>
      </c>
      <c r="M1109" s="6" t="s">
        <v>2784</v>
      </c>
      <c r="N1109" s="1">
        <v>100</v>
      </c>
      <c r="O1109" s="1">
        <v>100</v>
      </c>
      <c r="P1109" t="s">
        <v>2778</v>
      </c>
      <c r="Q110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09" s="1" t="s">
        <v>2779</v>
      </c>
    </row>
    <row r="1110" spans="1:18" x14ac:dyDescent="0.25">
      <c r="A1110" t="s">
        <v>127</v>
      </c>
      <c r="B1110" t="s">
        <v>128</v>
      </c>
      <c r="C1110" s="1">
        <v>273005</v>
      </c>
      <c r="D1110" s="1">
        <v>640</v>
      </c>
      <c r="E1110" s="1">
        <v>946</v>
      </c>
      <c r="F1110" s="1">
        <v>2478</v>
      </c>
      <c r="G1110" s="1">
        <v>1419</v>
      </c>
      <c r="H1110" s="1">
        <v>5483</v>
      </c>
      <c r="I1110" s="1">
        <v>19430</v>
      </c>
      <c r="J1110" s="1">
        <v>0</v>
      </c>
      <c r="K1110" s="1">
        <v>394</v>
      </c>
      <c r="L1110" s="1">
        <v>19824</v>
      </c>
      <c r="M1110" s="6">
        <f>(Table2[[#This Row],[Grand Total of Lead Service Lines Replaced]]/(Table2[[#This Row],[Total to be identified or replaced]]+Table2[[#This Row],[Grand Total of Lead Service Lines Replaced]]))</f>
        <v>0.21665942229422688</v>
      </c>
      <c r="N1110" s="1">
        <v>60142</v>
      </c>
      <c r="O1110" s="1">
        <v>79963</v>
      </c>
      <c r="P1110" t="s">
        <v>2778</v>
      </c>
      <c r="Q111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10" s="7" t="s">
        <v>2786</v>
      </c>
    </row>
    <row r="1111" spans="1:18" x14ac:dyDescent="0.25">
      <c r="A1111" t="s">
        <v>1270</v>
      </c>
      <c r="B1111" t="s">
        <v>1271</v>
      </c>
      <c r="C1111" s="1">
        <v>1459</v>
      </c>
      <c r="D1111" s="1">
        <v>10</v>
      </c>
      <c r="E1111" s="1">
        <v>11</v>
      </c>
      <c r="F1111" s="1">
        <v>5</v>
      </c>
      <c r="H1111" s="1">
        <v>26</v>
      </c>
      <c r="I1111" s="1">
        <v>53</v>
      </c>
      <c r="J1111" s="1">
        <v>39</v>
      </c>
      <c r="K1111" s="1">
        <v>0</v>
      </c>
      <c r="L1111" s="1">
        <v>92</v>
      </c>
      <c r="M1111" s="6">
        <f>(Table2[[#This Row],[Grand Total of Lead Service Lines Replaced]]/(Table2[[#This Row],[Total to be identified or replaced]]+Table2[[#This Row],[Grand Total of Lead Service Lines Replaced]]))</f>
        <v>0.22033898305084745</v>
      </c>
      <c r="N1111" s="1">
        <v>573</v>
      </c>
      <c r="O1111" s="1">
        <v>665</v>
      </c>
      <c r="P1111" t="s">
        <v>2778</v>
      </c>
      <c r="Q111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11" s="7" t="s">
        <v>2786</v>
      </c>
    </row>
    <row r="1112" spans="1:18" x14ac:dyDescent="0.25">
      <c r="A1112" t="s">
        <v>983</v>
      </c>
      <c r="B1112" t="s">
        <v>984</v>
      </c>
      <c r="C1112" s="1">
        <v>8500</v>
      </c>
      <c r="I1112" s="1">
        <v>0</v>
      </c>
      <c r="J1112" s="1">
        <v>0</v>
      </c>
      <c r="K1112" s="1">
        <v>0</v>
      </c>
      <c r="L1112" s="1">
        <v>0</v>
      </c>
      <c r="M1112" s="6" t="s">
        <v>2784</v>
      </c>
      <c r="N1112" s="1">
        <v>2675</v>
      </c>
      <c r="O1112" s="1">
        <v>2675</v>
      </c>
      <c r="P1112" t="s">
        <v>2778</v>
      </c>
      <c r="Q111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12" s="1" t="s">
        <v>2779</v>
      </c>
    </row>
    <row r="1113" spans="1:18" x14ac:dyDescent="0.25">
      <c r="A1113" t="s">
        <v>1448</v>
      </c>
      <c r="B1113" t="s">
        <v>1449</v>
      </c>
      <c r="C1113" s="1">
        <v>10371</v>
      </c>
      <c r="D1113" s="1">
        <v>3</v>
      </c>
      <c r="E1113" s="1">
        <v>2</v>
      </c>
      <c r="F1113" s="1">
        <v>1</v>
      </c>
      <c r="G1113" s="1">
        <v>2</v>
      </c>
      <c r="H1113" s="1">
        <v>8</v>
      </c>
      <c r="I1113" s="1">
        <v>28</v>
      </c>
      <c r="J1113" s="1">
        <v>0</v>
      </c>
      <c r="K1113" s="1">
        <v>0</v>
      </c>
      <c r="L1113" s="1">
        <v>28</v>
      </c>
      <c r="M1113" s="6">
        <f>(Table2[[#This Row],[Grand Total of Lead Service Lines Replaced]]/(Table2[[#This Row],[Total to be identified or replaced]]+Table2[[#This Row],[Grand Total of Lead Service Lines Replaced]]))</f>
        <v>0.22222222222222221</v>
      </c>
      <c r="N1113" s="1">
        <v>4004</v>
      </c>
      <c r="O1113" s="1">
        <v>4032</v>
      </c>
      <c r="P1113">
        <v>2025</v>
      </c>
      <c r="Q111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13" s="7" t="s">
        <v>2786</v>
      </c>
    </row>
    <row r="1114" spans="1:18" x14ac:dyDescent="0.25">
      <c r="A1114" t="s">
        <v>2371</v>
      </c>
      <c r="B1114" t="s">
        <v>2372</v>
      </c>
      <c r="C1114" s="1">
        <v>1721</v>
      </c>
      <c r="I1114" s="1">
        <v>0</v>
      </c>
      <c r="J1114" s="1">
        <v>0</v>
      </c>
      <c r="K1114" s="1">
        <v>0</v>
      </c>
      <c r="L1114" s="1">
        <v>0</v>
      </c>
      <c r="M1114" s="6" t="s">
        <v>2784</v>
      </c>
      <c r="N1114" s="1">
        <v>980</v>
      </c>
      <c r="O1114" s="1">
        <v>980</v>
      </c>
      <c r="P1114" t="s">
        <v>2778</v>
      </c>
      <c r="Q111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14" s="1" t="s">
        <v>2779</v>
      </c>
    </row>
    <row r="1115" spans="1:18" x14ac:dyDescent="0.25">
      <c r="A1115" t="s">
        <v>2491</v>
      </c>
      <c r="B1115" t="s">
        <v>2492</v>
      </c>
      <c r="C1115" s="1">
        <v>43</v>
      </c>
      <c r="I1115" s="1">
        <v>0</v>
      </c>
      <c r="J1115" s="1">
        <v>0</v>
      </c>
      <c r="K1115" s="1">
        <v>0</v>
      </c>
      <c r="L1115" s="1">
        <v>0</v>
      </c>
      <c r="M1115" s="6" t="s">
        <v>2784</v>
      </c>
      <c r="N1115" s="1">
        <v>48</v>
      </c>
      <c r="O1115" s="1">
        <v>48</v>
      </c>
      <c r="P1115" t="s">
        <v>2778</v>
      </c>
      <c r="Q11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15" s="1" t="s">
        <v>2779</v>
      </c>
    </row>
    <row r="1116" spans="1:18" x14ac:dyDescent="0.25">
      <c r="A1116" t="s">
        <v>2495</v>
      </c>
      <c r="B1116" t="s">
        <v>2496</v>
      </c>
      <c r="C1116" s="1">
        <v>62</v>
      </c>
      <c r="I1116" s="1">
        <v>0</v>
      </c>
      <c r="J1116" s="1">
        <v>0</v>
      </c>
      <c r="K1116" s="1">
        <v>0</v>
      </c>
      <c r="L1116" s="1">
        <v>0</v>
      </c>
      <c r="M1116" s="6" t="s">
        <v>2784</v>
      </c>
      <c r="N1116" s="1">
        <v>24</v>
      </c>
      <c r="O1116" s="1">
        <v>24</v>
      </c>
      <c r="P1116" t="s">
        <v>2778</v>
      </c>
      <c r="Q111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16" s="1" t="s">
        <v>2779</v>
      </c>
    </row>
    <row r="1117" spans="1:18" x14ac:dyDescent="0.25">
      <c r="A1117" t="s">
        <v>2375</v>
      </c>
      <c r="B1117" t="s">
        <v>2376</v>
      </c>
      <c r="C1117" s="1">
        <v>100</v>
      </c>
      <c r="I1117" s="1">
        <v>0</v>
      </c>
      <c r="J1117" s="1">
        <v>0</v>
      </c>
      <c r="K1117" s="1">
        <v>0</v>
      </c>
      <c r="L1117" s="1">
        <v>0</v>
      </c>
      <c r="M1117" s="6" t="s">
        <v>2784</v>
      </c>
      <c r="N1117" s="1">
        <v>91</v>
      </c>
      <c r="O1117" s="1">
        <v>91</v>
      </c>
      <c r="P1117" t="s">
        <v>2778</v>
      </c>
      <c r="Q111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17" s="1" t="s">
        <v>2779</v>
      </c>
    </row>
    <row r="1118" spans="1:18" x14ac:dyDescent="0.25">
      <c r="A1118" t="s">
        <v>2035</v>
      </c>
      <c r="B1118" t="s">
        <v>2036</v>
      </c>
      <c r="C1118" s="1">
        <v>105</v>
      </c>
      <c r="L1118" s="1">
        <v>0</v>
      </c>
      <c r="M1118" s="6" t="s">
        <v>2784</v>
      </c>
      <c r="P1118" t="s">
        <v>2778</v>
      </c>
      <c r="Q1118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118" s="1" t="s">
        <v>2782</v>
      </c>
    </row>
    <row r="1119" spans="1:18" x14ac:dyDescent="0.25">
      <c r="A1119" t="s">
        <v>2499</v>
      </c>
      <c r="B1119" t="s">
        <v>2500</v>
      </c>
      <c r="C1119" s="1">
        <v>147</v>
      </c>
      <c r="I1119" s="1">
        <v>0</v>
      </c>
      <c r="J1119" s="1">
        <v>0</v>
      </c>
      <c r="K1119" s="1">
        <v>0</v>
      </c>
      <c r="L1119" s="1">
        <v>0</v>
      </c>
      <c r="M1119" s="6" t="s">
        <v>2784</v>
      </c>
      <c r="N1119" s="1">
        <v>59</v>
      </c>
      <c r="O1119" s="1">
        <v>59</v>
      </c>
      <c r="P1119" t="s">
        <v>2778</v>
      </c>
      <c r="Q111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19" s="1" t="s">
        <v>2779</v>
      </c>
    </row>
    <row r="1120" spans="1:18" x14ac:dyDescent="0.25">
      <c r="A1120" t="s">
        <v>2503</v>
      </c>
      <c r="B1120" t="s">
        <v>2504</v>
      </c>
      <c r="C1120" s="1">
        <v>50</v>
      </c>
      <c r="L1120" s="1">
        <v>0</v>
      </c>
      <c r="M1120" s="6" t="s">
        <v>2784</v>
      </c>
      <c r="N1120" s="1">
        <v>13</v>
      </c>
      <c r="O1120" s="1">
        <v>13</v>
      </c>
      <c r="P1120" t="s">
        <v>2778</v>
      </c>
      <c r="Q112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20" s="1" t="s">
        <v>2779</v>
      </c>
    </row>
    <row r="1121" spans="1:18" x14ac:dyDescent="0.25">
      <c r="A1121" t="s">
        <v>2507</v>
      </c>
      <c r="B1121" t="s">
        <v>2508</v>
      </c>
      <c r="C1121" s="1">
        <v>165</v>
      </c>
      <c r="I1121" s="1">
        <v>0</v>
      </c>
      <c r="J1121" s="1">
        <v>0</v>
      </c>
      <c r="K1121" s="1">
        <v>0</v>
      </c>
      <c r="L1121" s="1">
        <v>0</v>
      </c>
      <c r="M1121" s="6" t="s">
        <v>2784</v>
      </c>
      <c r="N1121" s="1">
        <v>66</v>
      </c>
      <c r="O1121" s="1">
        <v>66</v>
      </c>
      <c r="P1121" t="s">
        <v>2778</v>
      </c>
      <c r="Q112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21" s="1" t="s">
        <v>2779</v>
      </c>
    </row>
    <row r="1122" spans="1:18" x14ac:dyDescent="0.25">
      <c r="A1122" t="s">
        <v>2377</v>
      </c>
      <c r="B1122" t="s">
        <v>2378</v>
      </c>
      <c r="C1122" s="1">
        <v>1250</v>
      </c>
      <c r="I1122" s="1">
        <v>0</v>
      </c>
      <c r="J1122" s="1">
        <v>0</v>
      </c>
      <c r="K1122" s="1">
        <v>0</v>
      </c>
      <c r="L1122" s="1">
        <v>0</v>
      </c>
      <c r="M1122" s="6" t="s">
        <v>2784</v>
      </c>
      <c r="N1122" s="1">
        <v>70</v>
      </c>
      <c r="O1122" s="1">
        <v>70</v>
      </c>
      <c r="P1122" t="s">
        <v>2778</v>
      </c>
      <c r="Q112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22" s="1" t="s">
        <v>2779</v>
      </c>
    </row>
    <row r="1123" spans="1:18" x14ac:dyDescent="0.25">
      <c r="A1123" t="s">
        <v>1436</v>
      </c>
      <c r="B1123" t="s">
        <v>1437</v>
      </c>
      <c r="C1123" s="1">
        <v>40</v>
      </c>
      <c r="I1123" s="1">
        <v>0</v>
      </c>
      <c r="J1123" s="1">
        <v>0</v>
      </c>
      <c r="K1123" s="1">
        <v>0</v>
      </c>
      <c r="L1123" s="1">
        <v>0</v>
      </c>
      <c r="M1123" s="6" t="s">
        <v>2784</v>
      </c>
      <c r="N1123" s="1">
        <v>1</v>
      </c>
      <c r="O1123" s="1">
        <v>1</v>
      </c>
      <c r="P1123" t="s">
        <v>2778</v>
      </c>
      <c r="Q11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23" s="1" t="s">
        <v>2779</v>
      </c>
    </row>
    <row r="1124" spans="1:18" x14ac:dyDescent="0.25">
      <c r="A1124" t="s">
        <v>1078</v>
      </c>
      <c r="B1124" t="s">
        <v>1079</v>
      </c>
      <c r="C1124" s="1">
        <v>23994</v>
      </c>
      <c r="D1124" s="1">
        <v>27</v>
      </c>
      <c r="E1124" s="1">
        <v>4</v>
      </c>
      <c r="F1124" s="1">
        <v>20</v>
      </c>
      <c r="G1124" s="1">
        <v>6</v>
      </c>
      <c r="H1124" s="1">
        <v>57</v>
      </c>
      <c r="I1124" s="1">
        <v>60</v>
      </c>
      <c r="J1124" s="1">
        <v>134</v>
      </c>
      <c r="K1124" s="1">
        <v>0</v>
      </c>
      <c r="L1124" s="1">
        <v>194</v>
      </c>
      <c r="M1124" s="6">
        <f>(Table2[[#This Row],[Grand Total of Lead Service Lines Replaced]]/(Table2[[#This Row],[Total to be identified or replaced]]+Table2[[#This Row],[Grand Total of Lead Service Lines Replaced]]))</f>
        <v>0.22709163346613545</v>
      </c>
      <c r="N1124" s="1">
        <v>8646</v>
      </c>
      <c r="O1124" s="1">
        <v>8840</v>
      </c>
      <c r="P1124" t="s">
        <v>2778</v>
      </c>
      <c r="Q112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24" s="7" t="s">
        <v>2786</v>
      </c>
    </row>
    <row r="1125" spans="1:18" x14ac:dyDescent="0.25">
      <c r="A1125" t="s">
        <v>2379</v>
      </c>
      <c r="B1125" t="s">
        <v>2380</v>
      </c>
      <c r="C1125" s="1">
        <v>72000</v>
      </c>
      <c r="I1125" s="1">
        <v>0</v>
      </c>
      <c r="J1125" s="1">
        <v>0</v>
      </c>
      <c r="K1125" s="1">
        <v>0</v>
      </c>
      <c r="L1125" s="1">
        <v>0</v>
      </c>
      <c r="M1125" s="6" t="s">
        <v>2784</v>
      </c>
      <c r="N1125" s="1">
        <v>24808</v>
      </c>
      <c r="O1125" s="1">
        <v>24808</v>
      </c>
      <c r="P1125" t="s">
        <v>2778</v>
      </c>
      <c r="Q112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25" s="1" t="s">
        <v>2779</v>
      </c>
    </row>
    <row r="1126" spans="1:18" x14ac:dyDescent="0.25">
      <c r="A1126" t="s">
        <v>519</v>
      </c>
      <c r="B1126" t="s">
        <v>520</v>
      </c>
      <c r="C1126" s="1">
        <v>48664</v>
      </c>
      <c r="D1126" s="1">
        <v>120</v>
      </c>
      <c r="E1126" s="1">
        <v>82</v>
      </c>
      <c r="F1126" s="1">
        <v>85</v>
      </c>
      <c r="G1126" s="1">
        <v>52</v>
      </c>
      <c r="H1126" s="1">
        <v>339</v>
      </c>
      <c r="I1126" s="1">
        <v>731</v>
      </c>
      <c r="J1126" s="1">
        <v>392</v>
      </c>
      <c r="K1126" s="1">
        <v>0</v>
      </c>
      <c r="L1126" s="1">
        <v>1123</v>
      </c>
      <c r="M1126" s="6">
        <f>(Table2[[#This Row],[Grand Total of Lead Service Lines Replaced]]/(Table2[[#This Row],[Total to be identified or replaced]]+Table2[[#This Row],[Grand Total of Lead Service Lines Replaced]]))</f>
        <v>0.23187414500683995</v>
      </c>
      <c r="N1126" s="1">
        <v>14222</v>
      </c>
      <c r="O1126" s="1">
        <v>15345</v>
      </c>
      <c r="P1126" t="s">
        <v>2778</v>
      </c>
      <c r="Q112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26" s="7" t="s">
        <v>2786</v>
      </c>
    </row>
    <row r="1127" spans="1:18" x14ac:dyDescent="0.25">
      <c r="A1127" t="s">
        <v>299</v>
      </c>
      <c r="B1127" t="s">
        <v>300</v>
      </c>
      <c r="C1127" s="1">
        <v>13659</v>
      </c>
      <c r="D1127" s="1">
        <v>87</v>
      </c>
      <c r="E1127" s="1">
        <v>240</v>
      </c>
      <c r="F1127" s="1">
        <v>240</v>
      </c>
      <c r="G1127" s="1">
        <v>655</v>
      </c>
      <c r="H1127" s="1">
        <v>1222</v>
      </c>
      <c r="I1127" s="1">
        <v>3572</v>
      </c>
      <c r="J1127" s="1">
        <v>322</v>
      </c>
      <c r="K1127" s="1">
        <v>0</v>
      </c>
      <c r="L1127" s="1">
        <v>3894</v>
      </c>
      <c r="M1127" s="6">
        <f>(Table2[[#This Row],[Grand Total of Lead Service Lines Replaced]]/(Table2[[#This Row],[Total to be identified or replaced]]+Table2[[#This Row],[Grand Total of Lead Service Lines Replaced]]))</f>
        <v>0.23885848318999217</v>
      </c>
      <c r="N1127" s="1">
        <v>1486</v>
      </c>
      <c r="O1127" s="1">
        <v>5380</v>
      </c>
      <c r="P1127" t="s">
        <v>2778</v>
      </c>
      <c r="Q112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27" s="7" t="s">
        <v>2786</v>
      </c>
    </row>
    <row r="1128" spans="1:18" x14ac:dyDescent="0.25">
      <c r="A1128" t="s">
        <v>559</v>
      </c>
      <c r="B1128" t="s">
        <v>560</v>
      </c>
      <c r="C1128" s="1">
        <v>8163</v>
      </c>
      <c r="D1128" s="1">
        <v>49</v>
      </c>
      <c r="E1128" s="1">
        <v>21</v>
      </c>
      <c r="F1128" s="1">
        <v>127</v>
      </c>
      <c r="G1128" s="1">
        <v>88</v>
      </c>
      <c r="H1128" s="1">
        <v>285</v>
      </c>
      <c r="I1128" s="1">
        <v>211</v>
      </c>
      <c r="J1128" s="1">
        <v>694</v>
      </c>
      <c r="K1128" s="1">
        <v>0</v>
      </c>
      <c r="L1128" s="1">
        <v>905</v>
      </c>
      <c r="M1128" s="6">
        <f>(Table2[[#This Row],[Grand Total of Lead Service Lines Replaced]]/(Table2[[#This Row],[Total to be identified or replaced]]+Table2[[#This Row],[Grand Total of Lead Service Lines Replaced]]))</f>
        <v>0.23949579831932774</v>
      </c>
      <c r="N1128" s="1">
        <v>1677</v>
      </c>
      <c r="O1128" s="1">
        <v>2582</v>
      </c>
      <c r="P1128" t="s">
        <v>2778</v>
      </c>
      <c r="Q112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28" s="7" t="s">
        <v>2786</v>
      </c>
    </row>
    <row r="1129" spans="1:18" x14ac:dyDescent="0.25">
      <c r="A1129" t="s">
        <v>2517</v>
      </c>
      <c r="B1129" t="s">
        <v>2518</v>
      </c>
      <c r="C1129" s="1">
        <v>65</v>
      </c>
      <c r="I1129" s="1">
        <v>0</v>
      </c>
      <c r="J1129" s="1">
        <v>0</v>
      </c>
      <c r="K1129" s="1">
        <v>0</v>
      </c>
      <c r="L1129" s="1">
        <v>0</v>
      </c>
      <c r="M1129" s="6" t="s">
        <v>2784</v>
      </c>
      <c r="N1129" s="1">
        <v>26</v>
      </c>
      <c r="O1129" s="1">
        <v>26</v>
      </c>
      <c r="P1129" t="s">
        <v>2778</v>
      </c>
      <c r="Q112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29" s="1" t="s">
        <v>2779</v>
      </c>
    </row>
    <row r="1130" spans="1:18" x14ac:dyDescent="0.25">
      <c r="A1130" t="s">
        <v>2519</v>
      </c>
      <c r="B1130" t="s">
        <v>2520</v>
      </c>
      <c r="C1130" s="1">
        <v>915</v>
      </c>
      <c r="I1130" s="1">
        <v>0</v>
      </c>
      <c r="J1130" s="1">
        <v>0</v>
      </c>
      <c r="K1130" s="1">
        <v>0</v>
      </c>
      <c r="L1130" s="1">
        <v>0</v>
      </c>
      <c r="M1130" s="6" t="s">
        <v>2784</v>
      </c>
      <c r="N1130" s="1">
        <v>366</v>
      </c>
      <c r="O1130" s="1">
        <v>366</v>
      </c>
      <c r="P1130" t="s">
        <v>2778</v>
      </c>
      <c r="Q11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30" s="1" t="s">
        <v>2779</v>
      </c>
    </row>
    <row r="1131" spans="1:18" x14ac:dyDescent="0.25">
      <c r="A1131" t="s">
        <v>573</v>
      </c>
      <c r="B1131" t="s">
        <v>574</v>
      </c>
      <c r="C1131" s="1">
        <v>8583</v>
      </c>
      <c r="D1131" s="1">
        <v>35</v>
      </c>
      <c r="E1131" s="1">
        <v>73</v>
      </c>
      <c r="F1131" s="1">
        <v>89</v>
      </c>
      <c r="G1131" s="1">
        <v>74</v>
      </c>
      <c r="H1131" s="1">
        <v>271</v>
      </c>
      <c r="I1131" s="1">
        <v>190</v>
      </c>
      <c r="J1131" s="1">
        <v>470</v>
      </c>
      <c r="K1131" s="1">
        <v>200</v>
      </c>
      <c r="L1131" s="1">
        <v>860</v>
      </c>
      <c r="M1131" s="6">
        <f>(Table2[[#This Row],[Grand Total of Lead Service Lines Replaced]]/(Table2[[#This Row],[Total to be identified or replaced]]+Table2[[#This Row],[Grand Total of Lead Service Lines Replaced]]))</f>
        <v>0.23961096374889479</v>
      </c>
      <c r="N1131" s="1">
        <v>3281</v>
      </c>
      <c r="O1131" s="1">
        <v>4141</v>
      </c>
      <c r="P1131" t="s">
        <v>2778</v>
      </c>
      <c r="Q113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31" s="7" t="s">
        <v>2786</v>
      </c>
    </row>
    <row r="1132" spans="1:18" x14ac:dyDescent="0.25">
      <c r="A1132" t="s">
        <v>1845</v>
      </c>
      <c r="B1132" t="s">
        <v>1846</v>
      </c>
      <c r="C1132" s="1">
        <v>2408</v>
      </c>
      <c r="I1132" s="1">
        <v>0</v>
      </c>
      <c r="J1132" s="1">
        <v>0</v>
      </c>
      <c r="K1132" s="1">
        <v>0</v>
      </c>
      <c r="L1132" s="1">
        <v>0</v>
      </c>
      <c r="M1132" s="6" t="s">
        <v>2784</v>
      </c>
      <c r="N1132" s="1">
        <v>757</v>
      </c>
      <c r="O1132" s="1">
        <v>757</v>
      </c>
      <c r="P1132">
        <v>2025</v>
      </c>
      <c r="Q11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32" s="1" t="s">
        <v>2779</v>
      </c>
    </row>
    <row r="1133" spans="1:18" x14ac:dyDescent="0.25">
      <c r="A1133" t="s">
        <v>537</v>
      </c>
      <c r="B1133" t="s">
        <v>538</v>
      </c>
      <c r="C1133" s="1">
        <v>13822</v>
      </c>
      <c r="D1133" s="1">
        <v>23</v>
      </c>
      <c r="E1133" s="1">
        <v>62</v>
      </c>
      <c r="F1133" s="1">
        <v>86</v>
      </c>
      <c r="G1133" s="1">
        <v>170</v>
      </c>
      <c r="H1133" s="1">
        <v>341</v>
      </c>
      <c r="I1133" s="1">
        <v>972</v>
      </c>
      <c r="J1133" s="1">
        <v>97</v>
      </c>
      <c r="K1133" s="1">
        <v>0</v>
      </c>
      <c r="L1133" s="1">
        <v>1069</v>
      </c>
      <c r="M1133" s="6">
        <f>(Table2[[#This Row],[Grand Total of Lead Service Lines Replaced]]/(Table2[[#This Row],[Total to be identified or replaced]]+Table2[[#This Row],[Grand Total of Lead Service Lines Replaced]]))</f>
        <v>0.24184397163120566</v>
      </c>
      <c r="N1133" s="1">
        <v>2399</v>
      </c>
      <c r="O1133" s="1">
        <v>3468</v>
      </c>
      <c r="P1133" t="s">
        <v>2778</v>
      </c>
      <c r="Q113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33" s="7" t="s">
        <v>2786</v>
      </c>
    </row>
    <row r="1134" spans="1:18" x14ac:dyDescent="0.25">
      <c r="A1134" t="s">
        <v>2525</v>
      </c>
      <c r="B1134" t="s">
        <v>2526</v>
      </c>
      <c r="C1134" s="1">
        <v>260</v>
      </c>
      <c r="L1134" s="1">
        <v>0</v>
      </c>
      <c r="M1134" s="6" t="s">
        <v>2784</v>
      </c>
      <c r="N1134" s="1">
        <v>104</v>
      </c>
      <c r="O1134" s="1">
        <v>104</v>
      </c>
      <c r="P1134" t="s">
        <v>2778</v>
      </c>
      <c r="Q113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34" s="1" t="s">
        <v>2779</v>
      </c>
    </row>
    <row r="1135" spans="1:18" x14ac:dyDescent="0.25">
      <c r="A1135" t="s">
        <v>2529</v>
      </c>
      <c r="B1135" t="s">
        <v>2530</v>
      </c>
      <c r="C1135" s="1">
        <v>68</v>
      </c>
      <c r="I1135" s="1">
        <v>0</v>
      </c>
      <c r="J1135" s="1">
        <v>0</v>
      </c>
      <c r="K1135" s="1">
        <v>0</v>
      </c>
      <c r="L1135" s="1">
        <v>0</v>
      </c>
      <c r="M1135" s="6" t="s">
        <v>2784</v>
      </c>
      <c r="N1135" s="1">
        <v>26</v>
      </c>
      <c r="O1135" s="1">
        <v>26</v>
      </c>
      <c r="P1135" t="s">
        <v>2778</v>
      </c>
      <c r="Q113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35" s="1" t="s">
        <v>2779</v>
      </c>
    </row>
    <row r="1136" spans="1:18" x14ac:dyDescent="0.25">
      <c r="A1136" t="s">
        <v>2531</v>
      </c>
      <c r="B1136" t="s">
        <v>2532</v>
      </c>
      <c r="C1136" s="1">
        <v>98</v>
      </c>
      <c r="I1136" s="1">
        <v>0</v>
      </c>
      <c r="J1136" s="1">
        <v>0</v>
      </c>
      <c r="K1136" s="1">
        <v>0</v>
      </c>
      <c r="L1136" s="1">
        <v>0</v>
      </c>
      <c r="M1136" s="6" t="s">
        <v>2784</v>
      </c>
      <c r="N1136" s="1">
        <v>49</v>
      </c>
      <c r="O1136" s="1">
        <v>49</v>
      </c>
      <c r="P1136" t="s">
        <v>2778</v>
      </c>
      <c r="Q113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36" s="1" t="s">
        <v>2779</v>
      </c>
    </row>
    <row r="1137" spans="1:18" x14ac:dyDescent="0.25">
      <c r="A1137" t="s">
        <v>2391</v>
      </c>
      <c r="B1137" t="s">
        <v>2392</v>
      </c>
      <c r="C1137" s="1">
        <v>250</v>
      </c>
      <c r="I1137" s="1">
        <v>0</v>
      </c>
      <c r="J1137" s="1">
        <v>0</v>
      </c>
      <c r="K1137" s="1">
        <v>0</v>
      </c>
      <c r="L1137" s="1">
        <v>0</v>
      </c>
      <c r="M1137" s="6" t="s">
        <v>2784</v>
      </c>
      <c r="N1137" s="1">
        <v>123</v>
      </c>
      <c r="O1137" s="1">
        <v>123</v>
      </c>
      <c r="P1137" t="s">
        <v>2778</v>
      </c>
      <c r="Q113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37" s="1" t="s">
        <v>2779</v>
      </c>
    </row>
    <row r="1138" spans="1:18" x14ac:dyDescent="0.25">
      <c r="A1138" t="s">
        <v>2537</v>
      </c>
      <c r="B1138" t="s">
        <v>2538</v>
      </c>
      <c r="C1138" s="1">
        <v>360</v>
      </c>
      <c r="I1138" s="1">
        <v>0</v>
      </c>
      <c r="J1138" s="1">
        <v>0</v>
      </c>
      <c r="K1138" s="1">
        <v>0</v>
      </c>
      <c r="L1138" s="1">
        <v>0</v>
      </c>
      <c r="M1138" s="6" t="s">
        <v>2784</v>
      </c>
      <c r="N1138" s="1">
        <v>210</v>
      </c>
      <c r="O1138" s="1">
        <v>210</v>
      </c>
      <c r="P1138" t="s">
        <v>2778</v>
      </c>
      <c r="Q113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38" s="1" t="s">
        <v>2779</v>
      </c>
    </row>
    <row r="1139" spans="1:18" x14ac:dyDescent="0.25">
      <c r="A1139" t="s">
        <v>2398</v>
      </c>
      <c r="B1139" t="s">
        <v>2399</v>
      </c>
      <c r="C1139" s="1">
        <v>5815</v>
      </c>
      <c r="I1139" s="1">
        <v>0</v>
      </c>
      <c r="J1139" s="1">
        <v>0</v>
      </c>
      <c r="K1139" s="1">
        <v>0</v>
      </c>
      <c r="L1139" s="1">
        <v>0</v>
      </c>
      <c r="M1139" s="6" t="s">
        <v>2784</v>
      </c>
      <c r="N1139" s="1">
        <v>1744</v>
      </c>
      <c r="O1139" s="1">
        <v>1744</v>
      </c>
      <c r="P1139">
        <v>2018</v>
      </c>
      <c r="Q11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39" s="1" t="s">
        <v>2779</v>
      </c>
    </row>
    <row r="1140" spans="1:18" x14ac:dyDescent="0.25">
      <c r="A1140" t="s">
        <v>2400</v>
      </c>
      <c r="B1140" t="s">
        <v>2401</v>
      </c>
      <c r="C1140" s="1">
        <v>100</v>
      </c>
      <c r="I1140" s="1">
        <v>0</v>
      </c>
      <c r="J1140" s="1">
        <v>0</v>
      </c>
      <c r="K1140" s="1">
        <v>0</v>
      </c>
      <c r="L1140" s="1">
        <v>0</v>
      </c>
      <c r="M1140" s="6" t="s">
        <v>2784</v>
      </c>
      <c r="N1140" s="1">
        <v>1</v>
      </c>
      <c r="O1140" s="1">
        <v>1</v>
      </c>
      <c r="P1140" t="s">
        <v>2778</v>
      </c>
      <c r="Q11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40" s="1" t="s">
        <v>2779</v>
      </c>
    </row>
    <row r="1141" spans="1:18" x14ac:dyDescent="0.25">
      <c r="A1141" t="s">
        <v>2406</v>
      </c>
      <c r="B1141" t="s">
        <v>2407</v>
      </c>
      <c r="C1141" s="1">
        <v>275</v>
      </c>
      <c r="I1141" s="1">
        <v>0</v>
      </c>
      <c r="J1141" s="1">
        <v>0</v>
      </c>
      <c r="K1141" s="1">
        <v>0</v>
      </c>
      <c r="L1141" s="1">
        <v>0</v>
      </c>
      <c r="M1141" s="6" t="s">
        <v>2784</v>
      </c>
      <c r="N1141" s="1">
        <v>81</v>
      </c>
      <c r="O1141" s="1">
        <v>81</v>
      </c>
      <c r="P1141" t="s">
        <v>2778</v>
      </c>
      <c r="Q11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41" s="1" t="s">
        <v>2779</v>
      </c>
    </row>
    <row r="1142" spans="1:18" x14ac:dyDescent="0.25">
      <c r="A1142" t="s">
        <v>2410</v>
      </c>
      <c r="B1142" t="s">
        <v>2411</v>
      </c>
      <c r="C1142" s="1">
        <v>1</v>
      </c>
      <c r="I1142" s="1">
        <v>0</v>
      </c>
      <c r="J1142" s="1">
        <v>0</v>
      </c>
      <c r="K1142" s="1">
        <v>0</v>
      </c>
      <c r="L1142" s="1">
        <v>0</v>
      </c>
      <c r="M1142" s="6" t="s">
        <v>2784</v>
      </c>
      <c r="N1142" s="1">
        <v>27</v>
      </c>
      <c r="O1142" s="1">
        <v>27</v>
      </c>
      <c r="P1142" t="s">
        <v>2778</v>
      </c>
      <c r="Q114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42" s="1" t="s">
        <v>2779</v>
      </c>
    </row>
    <row r="1143" spans="1:18" x14ac:dyDescent="0.25">
      <c r="A1143" t="s">
        <v>2543</v>
      </c>
      <c r="B1143" t="s">
        <v>2544</v>
      </c>
      <c r="C1143" s="1">
        <v>368</v>
      </c>
      <c r="L1143" s="1">
        <v>0</v>
      </c>
      <c r="M1143" s="6" t="s">
        <v>2784</v>
      </c>
      <c r="N1143" s="1">
        <v>147</v>
      </c>
      <c r="O1143" s="1">
        <v>147</v>
      </c>
      <c r="P1143" t="s">
        <v>2778</v>
      </c>
      <c r="Q11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43" s="1" t="s">
        <v>2779</v>
      </c>
    </row>
    <row r="1144" spans="1:18" x14ac:dyDescent="0.25">
      <c r="A1144" t="s">
        <v>2547</v>
      </c>
      <c r="B1144" t="s">
        <v>2548</v>
      </c>
      <c r="C1144" s="1">
        <v>64</v>
      </c>
      <c r="I1144" s="1">
        <v>0</v>
      </c>
      <c r="J1144" s="1">
        <v>0</v>
      </c>
      <c r="K1144" s="1">
        <v>0</v>
      </c>
      <c r="L1144" s="1">
        <v>0</v>
      </c>
      <c r="M1144" s="6" t="s">
        <v>2784</v>
      </c>
      <c r="N1144" s="1">
        <v>56</v>
      </c>
      <c r="O1144" s="1">
        <v>56</v>
      </c>
      <c r="P1144" t="s">
        <v>2778</v>
      </c>
      <c r="Q114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44" s="1" t="s">
        <v>2779</v>
      </c>
    </row>
    <row r="1145" spans="1:18" x14ac:dyDescent="0.25">
      <c r="A1145" t="s">
        <v>2412</v>
      </c>
      <c r="B1145" t="s">
        <v>2413</v>
      </c>
      <c r="C1145" s="1">
        <v>75</v>
      </c>
      <c r="I1145" s="1">
        <v>0</v>
      </c>
      <c r="J1145" s="1">
        <v>0</v>
      </c>
      <c r="K1145" s="1">
        <v>0</v>
      </c>
      <c r="L1145" s="1">
        <v>0</v>
      </c>
      <c r="M1145" s="6" t="s">
        <v>2784</v>
      </c>
      <c r="N1145" s="1">
        <v>14</v>
      </c>
      <c r="O1145" s="1">
        <v>14</v>
      </c>
      <c r="P1145" t="s">
        <v>2778</v>
      </c>
      <c r="Q11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45" s="1" t="s">
        <v>2779</v>
      </c>
    </row>
    <row r="1146" spans="1:18" x14ac:dyDescent="0.25">
      <c r="A1146" t="s">
        <v>233</v>
      </c>
      <c r="B1146" t="s">
        <v>234</v>
      </c>
      <c r="C1146" s="1">
        <v>22105</v>
      </c>
      <c r="D1146" s="1">
        <v>555</v>
      </c>
      <c r="E1146" s="1">
        <v>611</v>
      </c>
      <c r="F1146" s="1">
        <v>501</v>
      </c>
      <c r="G1146" s="1">
        <v>516</v>
      </c>
      <c r="H1146" s="1">
        <v>2183</v>
      </c>
      <c r="I1146" s="1">
        <v>595</v>
      </c>
      <c r="J1146" s="1">
        <v>72</v>
      </c>
      <c r="K1146" s="1">
        <v>6143</v>
      </c>
      <c r="L1146" s="1">
        <v>6810</v>
      </c>
      <c r="M1146" s="6">
        <f>(Table2[[#This Row],[Grand Total of Lead Service Lines Replaced]]/(Table2[[#This Row],[Total to be identified or replaced]]+Table2[[#This Row],[Grand Total of Lead Service Lines Replaced]]))</f>
        <v>0.24274435672189482</v>
      </c>
      <c r="N1146" s="1">
        <v>3145</v>
      </c>
      <c r="O1146" s="1">
        <v>9955</v>
      </c>
      <c r="P1146">
        <v>2020</v>
      </c>
      <c r="Q114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46" s="7" t="s">
        <v>2786</v>
      </c>
    </row>
    <row r="1147" spans="1:18" x14ac:dyDescent="0.25">
      <c r="A1147" t="s">
        <v>253</v>
      </c>
      <c r="B1147" t="s">
        <v>254</v>
      </c>
      <c r="C1147" s="1">
        <v>22413</v>
      </c>
      <c r="D1147" s="1">
        <v>179</v>
      </c>
      <c r="E1147" s="1">
        <v>361</v>
      </c>
      <c r="F1147" s="1">
        <v>429</v>
      </c>
      <c r="G1147" s="1">
        <v>790</v>
      </c>
      <c r="H1147" s="1">
        <v>1759</v>
      </c>
      <c r="I1147" s="1">
        <v>793</v>
      </c>
      <c r="J1147" s="1">
        <v>41</v>
      </c>
      <c r="K1147" s="1">
        <v>4551</v>
      </c>
      <c r="L1147" s="1">
        <v>5385</v>
      </c>
      <c r="M1147" s="6">
        <f>(Table2[[#This Row],[Grand Total of Lead Service Lines Replaced]]/(Table2[[#This Row],[Total to be identified or replaced]]+Table2[[#This Row],[Grand Total of Lead Service Lines Replaced]]))</f>
        <v>0.24622060470324747</v>
      </c>
      <c r="N1147" s="1">
        <v>840</v>
      </c>
      <c r="O1147" s="1">
        <v>6225</v>
      </c>
      <c r="P1147">
        <v>2021</v>
      </c>
      <c r="Q114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47" s="7" t="s">
        <v>2786</v>
      </c>
    </row>
    <row r="1148" spans="1:18" x14ac:dyDescent="0.25">
      <c r="A1148" t="s">
        <v>371</v>
      </c>
      <c r="B1148" t="s">
        <v>372</v>
      </c>
      <c r="C1148" s="1">
        <v>8789</v>
      </c>
      <c r="D1148" s="1">
        <v>130</v>
      </c>
      <c r="E1148" s="1">
        <v>199</v>
      </c>
      <c r="F1148" s="1">
        <v>222</v>
      </c>
      <c r="G1148" s="1">
        <v>170</v>
      </c>
      <c r="H1148" s="1">
        <v>721</v>
      </c>
      <c r="I1148" s="1">
        <v>1566</v>
      </c>
      <c r="J1148" s="1">
        <v>259</v>
      </c>
      <c r="K1148" s="1">
        <v>361</v>
      </c>
      <c r="L1148" s="1">
        <v>2186</v>
      </c>
      <c r="M1148" s="6">
        <f>(Table2[[#This Row],[Grand Total of Lead Service Lines Replaced]]/(Table2[[#This Row],[Total to be identified or replaced]]+Table2[[#This Row],[Grand Total of Lead Service Lines Replaced]]))</f>
        <v>0.2480220158238734</v>
      </c>
      <c r="N1148" s="1">
        <v>1750</v>
      </c>
      <c r="O1148" s="1">
        <v>3936</v>
      </c>
      <c r="P1148" t="s">
        <v>2778</v>
      </c>
      <c r="Q114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48" s="7" t="s">
        <v>2786</v>
      </c>
    </row>
    <row r="1149" spans="1:18" x14ac:dyDescent="0.25">
      <c r="A1149" t="s">
        <v>2414</v>
      </c>
      <c r="B1149" t="s">
        <v>2415</v>
      </c>
      <c r="C1149" s="1">
        <v>32</v>
      </c>
      <c r="I1149" s="1">
        <v>0</v>
      </c>
      <c r="J1149" s="1">
        <v>0</v>
      </c>
      <c r="K1149" s="1">
        <v>0</v>
      </c>
      <c r="L1149" s="1">
        <v>0</v>
      </c>
      <c r="M1149" s="6" t="s">
        <v>2784</v>
      </c>
      <c r="N1149" s="1">
        <v>1</v>
      </c>
      <c r="O1149" s="1">
        <v>1</v>
      </c>
      <c r="P1149" t="s">
        <v>2778</v>
      </c>
      <c r="Q114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49" s="1" t="s">
        <v>2779</v>
      </c>
    </row>
    <row r="1150" spans="1:18" x14ac:dyDescent="0.25">
      <c r="A1150" t="s">
        <v>2416</v>
      </c>
      <c r="B1150" t="s">
        <v>2417</v>
      </c>
      <c r="C1150" s="1">
        <v>48</v>
      </c>
      <c r="I1150" s="1">
        <v>0</v>
      </c>
      <c r="J1150" s="1">
        <v>0</v>
      </c>
      <c r="K1150" s="1">
        <v>0</v>
      </c>
      <c r="L1150" s="1">
        <v>0</v>
      </c>
      <c r="M1150" s="6" t="s">
        <v>2784</v>
      </c>
      <c r="N1150" s="1">
        <v>1</v>
      </c>
      <c r="O1150" s="1">
        <v>1</v>
      </c>
      <c r="P1150" t="s">
        <v>2778</v>
      </c>
      <c r="Q115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50" s="1" t="s">
        <v>2779</v>
      </c>
    </row>
    <row r="1151" spans="1:18" x14ac:dyDescent="0.25">
      <c r="A1151" t="s">
        <v>2418</v>
      </c>
      <c r="B1151" t="s">
        <v>2419</v>
      </c>
      <c r="C1151" s="1">
        <v>32</v>
      </c>
      <c r="I1151" s="1">
        <v>0</v>
      </c>
      <c r="J1151" s="1">
        <v>0</v>
      </c>
      <c r="K1151" s="1">
        <v>0</v>
      </c>
      <c r="L1151" s="1">
        <v>0</v>
      </c>
      <c r="M1151" s="6" t="s">
        <v>2784</v>
      </c>
      <c r="N1151" s="1">
        <v>2</v>
      </c>
      <c r="O1151" s="1">
        <v>2</v>
      </c>
      <c r="P1151" t="s">
        <v>2778</v>
      </c>
      <c r="Q115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51" s="1" t="s">
        <v>2779</v>
      </c>
    </row>
    <row r="1152" spans="1:18" x14ac:dyDescent="0.25">
      <c r="A1152" t="s">
        <v>2420</v>
      </c>
      <c r="B1152" t="s">
        <v>2421</v>
      </c>
      <c r="C1152" s="1">
        <v>745</v>
      </c>
      <c r="I1152" s="1">
        <v>0</v>
      </c>
      <c r="J1152" s="1">
        <v>0</v>
      </c>
      <c r="K1152" s="1">
        <v>0</v>
      </c>
      <c r="L1152" s="1">
        <v>0</v>
      </c>
      <c r="M1152" s="6" t="s">
        <v>2784</v>
      </c>
      <c r="N1152" s="1">
        <v>349</v>
      </c>
      <c r="O1152" s="1">
        <v>349</v>
      </c>
      <c r="P1152" t="s">
        <v>2778</v>
      </c>
      <c r="Q11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52" s="1" t="s">
        <v>2779</v>
      </c>
    </row>
    <row r="1153" spans="1:18" x14ac:dyDescent="0.25">
      <c r="A1153" t="s">
        <v>2422</v>
      </c>
      <c r="B1153" t="s">
        <v>2423</v>
      </c>
      <c r="C1153" s="1">
        <v>1587</v>
      </c>
      <c r="I1153" s="1">
        <v>0</v>
      </c>
      <c r="J1153" s="1">
        <v>0</v>
      </c>
      <c r="K1153" s="1">
        <v>0</v>
      </c>
      <c r="L1153" s="1">
        <v>0</v>
      </c>
      <c r="M1153" s="6" t="s">
        <v>2784</v>
      </c>
      <c r="N1153" s="1">
        <v>561</v>
      </c>
      <c r="O1153" s="1">
        <v>561</v>
      </c>
      <c r="P1153" t="s">
        <v>2778</v>
      </c>
      <c r="Q11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53" s="1" t="s">
        <v>2779</v>
      </c>
    </row>
    <row r="1154" spans="1:18" x14ac:dyDescent="0.25">
      <c r="A1154" t="s">
        <v>2151</v>
      </c>
      <c r="B1154" t="s">
        <v>2152</v>
      </c>
      <c r="C1154" s="1">
        <v>1758</v>
      </c>
      <c r="G1154" s="1">
        <v>1</v>
      </c>
      <c r="H1154" s="1">
        <v>1</v>
      </c>
      <c r="J1154" s="1">
        <v>3</v>
      </c>
      <c r="L1154" s="1">
        <v>3</v>
      </c>
      <c r="M1154" s="6">
        <f>(Table2[[#This Row],[Grand Total of Lead Service Lines Replaced]]/(Table2[[#This Row],[Total to be identified or replaced]]+Table2[[#This Row],[Grand Total of Lead Service Lines Replaced]]))</f>
        <v>0.25</v>
      </c>
      <c r="N1154" s="1">
        <v>375</v>
      </c>
      <c r="O1154" s="1">
        <v>378</v>
      </c>
      <c r="P1154" t="s">
        <v>2778</v>
      </c>
      <c r="Q115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54" s="7" t="s">
        <v>2786</v>
      </c>
    </row>
    <row r="1155" spans="1:18" x14ac:dyDescent="0.25">
      <c r="A1155" t="s">
        <v>2161</v>
      </c>
      <c r="B1155" t="s">
        <v>2162</v>
      </c>
      <c r="C1155" s="1">
        <v>1859</v>
      </c>
      <c r="I1155" s="1">
        <v>0</v>
      </c>
      <c r="J1155" s="1">
        <v>0</v>
      </c>
      <c r="K1155" s="1">
        <v>0</v>
      </c>
      <c r="L1155" s="1">
        <v>0</v>
      </c>
      <c r="M1155" s="6" t="s">
        <v>2784</v>
      </c>
      <c r="N1155" s="1">
        <v>797</v>
      </c>
      <c r="O1155" s="1">
        <v>797</v>
      </c>
      <c r="P1155" t="s">
        <v>2778</v>
      </c>
      <c r="Q115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55" s="1" t="s">
        <v>2779</v>
      </c>
    </row>
    <row r="1156" spans="1:18" x14ac:dyDescent="0.25">
      <c r="A1156" t="s">
        <v>2039</v>
      </c>
      <c r="B1156" t="s">
        <v>2040</v>
      </c>
      <c r="C1156" s="1">
        <v>31</v>
      </c>
      <c r="L1156" s="1">
        <v>0</v>
      </c>
      <c r="M1156" s="6" t="s">
        <v>2784</v>
      </c>
      <c r="N1156" s="1">
        <v>102</v>
      </c>
      <c r="P1156" t="s">
        <v>2778</v>
      </c>
      <c r="Q1156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156" s="1" t="s">
        <v>2782</v>
      </c>
    </row>
    <row r="1157" spans="1:18" x14ac:dyDescent="0.25">
      <c r="A1157" t="s">
        <v>2381</v>
      </c>
      <c r="B1157" t="s">
        <v>2382</v>
      </c>
      <c r="C1157" s="1">
        <v>1509</v>
      </c>
      <c r="D1157" s="1">
        <v>3</v>
      </c>
      <c r="G1157" s="1">
        <v>1</v>
      </c>
      <c r="H1157" s="1">
        <v>4</v>
      </c>
      <c r="I1157" s="1">
        <v>0</v>
      </c>
      <c r="J1157" s="1">
        <v>11</v>
      </c>
      <c r="K1157" s="1">
        <v>0</v>
      </c>
      <c r="L1157" s="1">
        <v>11</v>
      </c>
      <c r="M1157" s="6">
        <f>(Table2[[#This Row],[Grand Total of Lead Service Lines Replaced]]/(Table2[[#This Row],[Total to be identified or replaced]]+Table2[[#This Row],[Grand Total of Lead Service Lines Replaced]]))</f>
        <v>0.26666666666666666</v>
      </c>
      <c r="N1157" s="1">
        <v>697</v>
      </c>
      <c r="O1157" s="1">
        <v>708</v>
      </c>
      <c r="P1157" t="s">
        <v>2778</v>
      </c>
      <c r="Q115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57" s="7" t="s">
        <v>2786</v>
      </c>
    </row>
    <row r="1158" spans="1:18" x14ac:dyDescent="0.25">
      <c r="A1158" t="s">
        <v>733</v>
      </c>
      <c r="B1158" t="s">
        <v>734</v>
      </c>
      <c r="C1158" s="1">
        <v>11746</v>
      </c>
      <c r="D1158" s="1">
        <v>90</v>
      </c>
      <c r="E1158" s="1">
        <v>24</v>
      </c>
      <c r="F1158" s="1">
        <v>45</v>
      </c>
      <c r="G1158" s="1">
        <v>18</v>
      </c>
      <c r="H1158" s="1">
        <v>177</v>
      </c>
      <c r="I1158" s="1">
        <v>0</v>
      </c>
      <c r="J1158" s="1">
        <v>302</v>
      </c>
      <c r="K1158" s="1">
        <v>183</v>
      </c>
      <c r="L1158" s="1">
        <v>485</v>
      </c>
      <c r="M1158" s="6">
        <f>(Table2[[#This Row],[Grand Total of Lead Service Lines Replaced]]/(Table2[[#This Row],[Total to be identified or replaced]]+Table2[[#This Row],[Grand Total of Lead Service Lines Replaced]]))</f>
        <v>0.26737160120845921</v>
      </c>
      <c r="N1158" s="1">
        <v>3511</v>
      </c>
      <c r="O1158" s="1">
        <v>3996</v>
      </c>
      <c r="P1158" t="s">
        <v>2778</v>
      </c>
      <c r="Q115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58" s="7" t="s">
        <v>2786</v>
      </c>
    </row>
    <row r="1159" spans="1:18" x14ac:dyDescent="0.25">
      <c r="A1159" t="s">
        <v>2569</v>
      </c>
      <c r="B1159" t="s">
        <v>2570</v>
      </c>
      <c r="C1159" s="1">
        <v>160</v>
      </c>
      <c r="I1159" s="1">
        <v>0</v>
      </c>
      <c r="J1159" s="1">
        <v>0</v>
      </c>
      <c r="K1159" s="1">
        <v>0</v>
      </c>
      <c r="L1159" s="1">
        <v>0</v>
      </c>
      <c r="M1159" s="6" t="s">
        <v>2784</v>
      </c>
      <c r="N1159" s="1">
        <v>68</v>
      </c>
      <c r="O1159" s="1">
        <v>68</v>
      </c>
      <c r="P1159" t="s">
        <v>2778</v>
      </c>
      <c r="Q115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59" s="1" t="s">
        <v>2779</v>
      </c>
    </row>
    <row r="1160" spans="1:18" x14ac:dyDescent="0.25">
      <c r="A1160" t="s">
        <v>1266</v>
      </c>
      <c r="B1160" t="s">
        <v>1267</v>
      </c>
      <c r="C1160" s="1">
        <v>12486</v>
      </c>
      <c r="D1160" s="1">
        <v>7</v>
      </c>
      <c r="E1160" s="1">
        <v>8</v>
      </c>
      <c r="F1160" s="1">
        <v>7</v>
      </c>
      <c r="G1160" s="1">
        <v>23</v>
      </c>
      <c r="H1160" s="1">
        <v>45</v>
      </c>
      <c r="I1160" s="1">
        <v>84</v>
      </c>
      <c r="J1160" s="1">
        <v>1</v>
      </c>
      <c r="K1160" s="1">
        <v>38</v>
      </c>
      <c r="L1160" s="1">
        <v>123</v>
      </c>
      <c r="M1160" s="6">
        <f>(Table2[[#This Row],[Grand Total of Lead Service Lines Replaced]]/(Table2[[#This Row],[Total to be identified or replaced]]+Table2[[#This Row],[Grand Total of Lead Service Lines Replaced]]))</f>
        <v>0.26785714285714285</v>
      </c>
      <c r="N1160" s="1">
        <v>3716</v>
      </c>
      <c r="O1160" s="1">
        <v>3839</v>
      </c>
      <c r="P1160">
        <v>2024</v>
      </c>
      <c r="Q116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60" s="7" t="s">
        <v>2786</v>
      </c>
    </row>
    <row r="1161" spans="1:18" x14ac:dyDescent="0.25">
      <c r="A1161" t="s">
        <v>2167</v>
      </c>
      <c r="B1161" t="s">
        <v>2168</v>
      </c>
      <c r="C1161" s="1">
        <v>4909</v>
      </c>
      <c r="I1161" s="1">
        <v>0</v>
      </c>
      <c r="J1161" s="1">
        <v>0</v>
      </c>
      <c r="K1161" s="1">
        <v>0</v>
      </c>
      <c r="L1161" s="1">
        <v>0</v>
      </c>
      <c r="M1161" s="6" t="s">
        <v>2784</v>
      </c>
      <c r="N1161" s="1">
        <v>2066</v>
      </c>
      <c r="O1161" s="1">
        <v>2066</v>
      </c>
      <c r="P1161" t="s">
        <v>2778</v>
      </c>
      <c r="Q116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61" s="1" t="s">
        <v>2779</v>
      </c>
    </row>
    <row r="1162" spans="1:18" x14ac:dyDescent="0.25">
      <c r="A1162" t="s">
        <v>2077</v>
      </c>
      <c r="B1162" t="s">
        <v>2078</v>
      </c>
      <c r="C1162" s="1">
        <v>12720</v>
      </c>
      <c r="D1162" s="1">
        <v>3</v>
      </c>
      <c r="E1162" s="1">
        <v>2</v>
      </c>
      <c r="G1162" s="1">
        <v>2</v>
      </c>
      <c r="H1162" s="1">
        <v>7</v>
      </c>
      <c r="I1162" s="1">
        <v>6</v>
      </c>
      <c r="J1162" s="1">
        <v>13</v>
      </c>
      <c r="L1162" s="1">
        <v>19</v>
      </c>
      <c r="M1162" s="6">
        <f>(Table2[[#This Row],[Grand Total of Lead Service Lines Replaced]]/(Table2[[#This Row],[Total to be identified or replaced]]+Table2[[#This Row],[Grand Total of Lead Service Lines Replaced]]))</f>
        <v>0.26923076923076922</v>
      </c>
      <c r="N1162" s="1">
        <v>3993</v>
      </c>
      <c r="O1162" s="1">
        <v>4012</v>
      </c>
      <c r="P1162" t="s">
        <v>2778</v>
      </c>
      <c r="Q116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62" s="7" t="s">
        <v>2786</v>
      </c>
    </row>
    <row r="1163" spans="1:18" x14ac:dyDescent="0.25">
      <c r="A1163" t="s">
        <v>2424</v>
      </c>
      <c r="B1163" t="s">
        <v>2425</v>
      </c>
      <c r="C1163" s="1">
        <v>2153</v>
      </c>
      <c r="I1163" s="1">
        <v>0</v>
      </c>
      <c r="J1163" s="1">
        <v>0</v>
      </c>
      <c r="K1163" s="1">
        <v>0</v>
      </c>
      <c r="L1163" s="1">
        <v>0</v>
      </c>
      <c r="M1163" s="6" t="s">
        <v>2784</v>
      </c>
      <c r="N1163" s="1">
        <v>780</v>
      </c>
      <c r="O1163" s="1">
        <v>780</v>
      </c>
      <c r="P1163" t="s">
        <v>2778</v>
      </c>
      <c r="Q11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63" s="1" t="s">
        <v>2779</v>
      </c>
    </row>
    <row r="1164" spans="1:18" x14ac:dyDescent="0.25">
      <c r="A1164" t="s">
        <v>89</v>
      </c>
      <c r="B1164" t="s">
        <v>90</v>
      </c>
      <c r="C1164" s="1">
        <v>5930</v>
      </c>
      <c r="D1164" s="1">
        <v>12</v>
      </c>
      <c r="E1164" s="1">
        <v>17</v>
      </c>
      <c r="F1164" s="1">
        <v>243</v>
      </c>
      <c r="G1164" s="1">
        <v>124</v>
      </c>
      <c r="H1164" s="1">
        <v>396</v>
      </c>
      <c r="I1164" s="1">
        <v>631</v>
      </c>
      <c r="J1164" s="1">
        <v>433</v>
      </c>
      <c r="K1164" s="1">
        <v>1</v>
      </c>
      <c r="L1164" s="1">
        <v>1065</v>
      </c>
      <c r="M1164" s="6">
        <f>(Table2[[#This Row],[Grand Total of Lead Service Lines Replaced]]/(Table2[[#This Row],[Total to be identified or replaced]]+Table2[[#This Row],[Grand Total of Lead Service Lines Replaced]]))</f>
        <v>0.27104722792607805</v>
      </c>
      <c r="N1164" s="1">
        <v>656</v>
      </c>
      <c r="O1164" s="1">
        <v>1721</v>
      </c>
      <c r="P1164" t="s">
        <v>2778</v>
      </c>
      <c r="Q116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64" s="7" t="s">
        <v>2786</v>
      </c>
    </row>
    <row r="1165" spans="1:18" x14ac:dyDescent="0.25">
      <c r="A1165" t="s">
        <v>2426</v>
      </c>
      <c r="B1165" t="s">
        <v>2427</v>
      </c>
      <c r="C1165" s="1">
        <v>87</v>
      </c>
      <c r="I1165" s="1">
        <v>0</v>
      </c>
      <c r="J1165" s="1">
        <v>0</v>
      </c>
      <c r="K1165" s="1">
        <v>0</v>
      </c>
      <c r="L1165" s="1">
        <v>0</v>
      </c>
      <c r="M1165" s="6" t="s">
        <v>2784</v>
      </c>
      <c r="N1165" s="1">
        <v>4</v>
      </c>
      <c r="O1165" s="1">
        <v>4</v>
      </c>
      <c r="P1165" t="s">
        <v>2778</v>
      </c>
      <c r="Q116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65" s="1" t="s">
        <v>2779</v>
      </c>
    </row>
    <row r="1166" spans="1:18" x14ac:dyDescent="0.25">
      <c r="A1166" t="s">
        <v>2581</v>
      </c>
      <c r="B1166" t="s">
        <v>2582</v>
      </c>
      <c r="C1166" s="1">
        <v>9393</v>
      </c>
      <c r="L1166" s="1">
        <v>0</v>
      </c>
      <c r="M1166" s="6" t="s">
        <v>2784</v>
      </c>
      <c r="N1166" s="1">
        <v>4441</v>
      </c>
      <c r="O1166" s="1">
        <v>4441</v>
      </c>
      <c r="P1166" t="s">
        <v>2778</v>
      </c>
      <c r="Q116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66" s="1" t="s">
        <v>2779</v>
      </c>
    </row>
    <row r="1167" spans="1:18" x14ac:dyDescent="0.25">
      <c r="A1167" t="s">
        <v>893</v>
      </c>
      <c r="B1167" t="s">
        <v>894</v>
      </c>
      <c r="C1167" s="1">
        <v>2336</v>
      </c>
      <c r="D1167" s="1">
        <v>5</v>
      </c>
      <c r="E1167" s="1">
        <v>8</v>
      </c>
      <c r="F1167" s="1">
        <v>44</v>
      </c>
      <c r="G1167" s="1">
        <v>30</v>
      </c>
      <c r="H1167" s="1">
        <v>87</v>
      </c>
      <c r="I1167" s="1">
        <v>159</v>
      </c>
      <c r="J1167" s="1">
        <v>30</v>
      </c>
      <c r="K1167" s="1">
        <v>44</v>
      </c>
      <c r="L1167" s="1">
        <v>233</v>
      </c>
      <c r="M1167" s="6">
        <f>(Table2[[#This Row],[Grand Total of Lead Service Lines Replaced]]/(Table2[[#This Row],[Total to be identified or replaced]]+Table2[[#This Row],[Grand Total of Lead Service Lines Replaced]]))</f>
        <v>0.27187499999999998</v>
      </c>
      <c r="N1167" s="1">
        <v>663</v>
      </c>
      <c r="O1167" s="1">
        <v>896</v>
      </c>
      <c r="P1167" t="s">
        <v>2778</v>
      </c>
      <c r="Q116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67" s="7" t="s">
        <v>2786</v>
      </c>
    </row>
    <row r="1168" spans="1:18" x14ac:dyDescent="0.25">
      <c r="A1168" t="s">
        <v>2587</v>
      </c>
      <c r="B1168" t="s">
        <v>2588</v>
      </c>
      <c r="C1168" s="1">
        <v>990</v>
      </c>
      <c r="L1168" s="1">
        <v>0</v>
      </c>
      <c r="M1168" s="6" t="s">
        <v>2784</v>
      </c>
      <c r="N1168" s="1">
        <v>80</v>
      </c>
      <c r="O1168" s="1">
        <v>80</v>
      </c>
      <c r="P1168" t="s">
        <v>2778</v>
      </c>
      <c r="Q116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68" s="1" t="s">
        <v>2779</v>
      </c>
    </row>
    <row r="1169" spans="1:18" x14ac:dyDescent="0.25">
      <c r="A1169" t="s">
        <v>1086</v>
      </c>
      <c r="B1169" t="s">
        <v>1087</v>
      </c>
      <c r="C1169" s="1">
        <v>10541</v>
      </c>
      <c r="F1169" s="1">
        <v>32</v>
      </c>
      <c r="G1169" s="1">
        <v>44</v>
      </c>
      <c r="H1169" s="1">
        <v>76</v>
      </c>
      <c r="I1169" s="1">
        <v>178</v>
      </c>
      <c r="J1169" s="1">
        <v>0</v>
      </c>
      <c r="K1169" s="1">
        <v>12</v>
      </c>
      <c r="L1169" s="1">
        <v>190</v>
      </c>
      <c r="M1169" s="6">
        <f>(Table2[[#This Row],[Grand Total of Lead Service Lines Replaced]]/(Table2[[#This Row],[Total to be identified or replaced]]+Table2[[#This Row],[Grand Total of Lead Service Lines Replaced]]))</f>
        <v>0.2857142857142857</v>
      </c>
      <c r="N1169" s="1">
        <v>2807</v>
      </c>
      <c r="O1169" s="1">
        <v>2997</v>
      </c>
      <c r="P1169" t="s">
        <v>2778</v>
      </c>
      <c r="Q116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69" s="7" t="s">
        <v>2786</v>
      </c>
    </row>
    <row r="1170" spans="1:18" x14ac:dyDescent="0.25">
      <c r="A1170" t="s">
        <v>2428</v>
      </c>
      <c r="B1170" t="s">
        <v>2429</v>
      </c>
      <c r="C1170" s="1">
        <v>800</v>
      </c>
      <c r="I1170" s="1">
        <v>0</v>
      </c>
      <c r="J1170" s="1">
        <v>0</v>
      </c>
      <c r="K1170" s="1">
        <v>0</v>
      </c>
      <c r="L1170" s="1">
        <v>0</v>
      </c>
      <c r="M1170" s="6" t="s">
        <v>2784</v>
      </c>
      <c r="N1170" s="1">
        <v>271</v>
      </c>
      <c r="O1170" s="1">
        <v>271</v>
      </c>
      <c r="P1170" t="s">
        <v>2778</v>
      </c>
      <c r="Q117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70" s="1" t="s">
        <v>2779</v>
      </c>
    </row>
    <row r="1171" spans="1:18" x14ac:dyDescent="0.25">
      <c r="A1171" t="s">
        <v>2593</v>
      </c>
      <c r="B1171" t="s">
        <v>2594</v>
      </c>
      <c r="C1171" s="1">
        <v>1060</v>
      </c>
      <c r="I1171" s="1">
        <v>0</v>
      </c>
      <c r="J1171" s="1">
        <v>0</v>
      </c>
      <c r="K1171" s="1">
        <v>0</v>
      </c>
      <c r="L1171" s="1">
        <v>0</v>
      </c>
      <c r="M1171" s="6" t="s">
        <v>2784</v>
      </c>
      <c r="N1171" s="1">
        <v>424</v>
      </c>
      <c r="O1171" s="1">
        <v>424</v>
      </c>
      <c r="P1171" t="s">
        <v>2778</v>
      </c>
      <c r="Q117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71" s="1" t="s">
        <v>2779</v>
      </c>
    </row>
    <row r="1172" spans="1:18" x14ac:dyDescent="0.25">
      <c r="A1172" t="s">
        <v>1955</v>
      </c>
      <c r="B1172" t="s">
        <v>1956</v>
      </c>
      <c r="C1172" s="1">
        <v>3200</v>
      </c>
      <c r="I1172" s="1">
        <v>0</v>
      </c>
      <c r="J1172" s="1">
        <v>0</v>
      </c>
      <c r="L1172" s="1">
        <v>0</v>
      </c>
      <c r="M1172" s="6" t="s">
        <v>2784</v>
      </c>
      <c r="N1172" s="1">
        <v>17</v>
      </c>
      <c r="O1172" s="1">
        <v>17</v>
      </c>
      <c r="P1172" t="s">
        <v>2778</v>
      </c>
      <c r="Q117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72" s="1" t="s">
        <v>2779</v>
      </c>
    </row>
    <row r="1173" spans="1:18" x14ac:dyDescent="0.25">
      <c r="A1173" t="s">
        <v>2440</v>
      </c>
      <c r="B1173" t="s">
        <v>2441</v>
      </c>
      <c r="C1173" s="1">
        <v>7166</v>
      </c>
      <c r="I1173" s="1">
        <v>0</v>
      </c>
      <c r="J1173" s="1">
        <v>0</v>
      </c>
      <c r="K1173" s="1">
        <v>0</v>
      </c>
      <c r="L1173" s="1">
        <v>0</v>
      </c>
      <c r="M1173" s="6" t="s">
        <v>2784</v>
      </c>
      <c r="N1173" s="1">
        <v>63</v>
      </c>
      <c r="O1173" s="1">
        <v>63</v>
      </c>
      <c r="P1173" t="s">
        <v>2778</v>
      </c>
      <c r="Q11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73" s="1" t="s">
        <v>2779</v>
      </c>
    </row>
    <row r="1174" spans="1:18" x14ac:dyDescent="0.25">
      <c r="A1174" t="s">
        <v>349</v>
      </c>
      <c r="B1174" t="s">
        <v>350</v>
      </c>
      <c r="C1174" s="1">
        <v>57236</v>
      </c>
      <c r="D1174" s="1">
        <v>225</v>
      </c>
      <c r="E1174" s="1">
        <v>192</v>
      </c>
      <c r="F1174" s="1">
        <v>266</v>
      </c>
      <c r="G1174" s="1">
        <v>267</v>
      </c>
      <c r="H1174" s="1">
        <v>950</v>
      </c>
      <c r="I1174" s="1">
        <v>879</v>
      </c>
      <c r="J1174" s="1">
        <v>723</v>
      </c>
      <c r="K1174" s="1">
        <v>766</v>
      </c>
      <c r="L1174" s="1">
        <v>2368</v>
      </c>
      <c r="M1174" s="6">
        <f>(Table2[[#This Row],[Grand Total of Lead Service Lines Replaced]]/(Table2[[#This Row],[Total to be identified or replaced]]+Table2[[#This Row],[Grand Total of Lead Service Lines Replaced]]))</f>
        <v>0.28631705846895722</v>
      </c>
      <c r="N1174" s="1">
        <v>21247</v>
      </c>
      <c r="O1174" s="1">
        <v>23615</v>
      </c>
      <c r="P1174">
        <v>2019</v>
      </c>
      <c r="Q117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74" s="7" t="s">
        <v>2786</v>
      </c>
    </row>
    <row r="1175" spans="1:18" x14ac:dyDescent="0.25">
      <c r="A1175" t="s">
        <v>1260</v>
      </c>
      <c r="B1175" t="s">
        <v>1261</v>
      </c>
      <c r="C1175" s="1">
        <v>63409</v>
      </c>
      <c r="D1175" s="1">
        <v>7</v>
      </c>
      <c r="E1175" s="1">
        <v>5</v>
      </c>
      <c r="F1175" s="1">
        <v>28</v>
      </c>
      <c r="G1175" s="1">
        <v>15</v>
      </c>
      <c r="H1175" s="1">
        <v>55</v>
      </c>
      <c r="I1175" s="1">
        <v>124</v>
      </c>
      <c r="J1175" s="1">
        <v>0</v>
      </c>
      <c r="K1175" s="1">
        <v>0</v>
      </c>
      <c r="L1175" s="1">
        <v>124</v>
      </c>
      <c r="M1175" s="6">
        <f>(Table2[[#This Row],[Grand Total of Lead Service Lines Replaced]]/(Table2[[#This Row],[Total to be identified or replaced]]+Table2[[#This Row],[Grand Total of Lead Service Lines Replaced]]))</f>
        <v>0.30726256983240224</v>
      </c>
      <c r="N1175" s="1">
        <v>19381</v>
      </c>
      <c r="O1175" s="1">
        <v>19505</v>
      </c>
      <c r="P1175">
        <v>2025</v>
      </c>
      <c r="Q117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75" s="7" t="s">
        <v>2786</v>
      </c>
    </row>
    <row r="1176" spans="1:18" x14ac:dyDescent="0.25">
      <c r="A1176" t="s">
        <v>1774</v>
      </c>
      <c r="B1176" t="s">
        <v>1775</v>
      </c>
      <c r="C1176" s="1">
        <v>2973</v>
      </c>
      <c r="D1176" s="1">
        <v>25</v>
      </c>
      <c r="G1176" s="1">
        <v>2</v>
      </c>
      <c r="H1176" s="1">
        <v>27</v>
      </c>
      <c r="I1176" s="1">
        <v>33</v>
      </c>
      <c r="J1176" s="1">
        <v>27</v>
      </c>
      <c r="L1176" s="1">
        <v>60</v>
      </c>
      <c r="M1176" s="6">
        <f>(Table2[[#This Row],[Grand Total of Lead Service Lines Replaced]]/(Table2[[#This Row],[Total to be identified or replaced]]+Table2[[#This Row],[Grand Total of Lead Service Lines Replaced]]))</f>
        <v>0.31034482758620691</v>
      </c>
      <c r="N1176" s="1">
        <v>1340</v>
      </c>
      <c r="O1176" s="1">
        <v>1400</v>
      </c>
      <c r="P1176" t="s">
        <v>2778</v>
      </c>
      <c r="Q117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76" s="7" t="s">
        <v>2786</v>
      </c>
    </row>
    <row r="1177" spans="1:18" x14ac:dyDescent="0.25">
      <c r="A1177" t="s">
        <v>577</v>
      </c>
      <c r="B1177" t="s">
        <v>578</v>
      </c>
      <c r="C1177" s="1">
        <v>5387</v>
      </c>
      <c r="D1177" s="1">
        <v>79</v>
      </c>
      <c r="E1177" s="1">
        <v>43</v>
      </c>
      <c r="F1177" s="1">
        <v>91</v>
      </c>
      <c r="G1177" s="1">
        <v>164</v>
      </c>
      <c r="H1177" s="1">
        <v>377</v>
      </c>
      <c r="I1177" s="1">
        <v>25</v>
      </c>
      <c r="J1177" s="1">
        <v>144</v>
      </c>
      <c r="K1177" s="1">
        <v>664</v>
      </c>
      <c r="L1177" s="1">
        <v>833</v>
      </c>
      <c r="M1177" s="6">
        <f>(Table2[[#This Row],[Grand Total of Lead Service Lines Replaced]]/(Table2[[#This Row],[Total to be identified or replaced]]+Table2[[#This Row],[Grand Total of Lead Service Lines Replaced]]))</f>
        <v>0.31157024793388427</v>
      </c>
      <c r="N1177" s="1">
        <v>2174</v>
      </c>
      <c r="O1177" s="1">
        <v>3007</v>
      </c>
      <c r="P1177" t="s">
        <v>2778</v>
      </c>
      <c r="Q117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77" s="7" t="s">
        <v>2786</v>
      </c>
    </row>
    <row r="1178" spans="1:18" x14ac:dyDescent="0.25">
      <c r="A1178" t="s">
        <v>285</v>
      </c>
      <c r="B1178" t="s">
        <v>286</v>
      </c>
      <c r="C1178" s="1">
        <v>32255</v>
      </c>
      <c r="D1178" s="1">
        <v>278</v>
      </c>
      <c r="E1178" s="1">
        <v>523</v>
      </c>
      <c r="F1178" s="1">
        <v>475</v>
      </c>
      <c r="G1178" s="1">
        <v>628</v>
      </c>
      <c r="H1178" s="1">
        <v>1904</v>
      </c>
      <c r="I1178" s="1">
        <v>3323</v>
      </c>
      <c r="J1178" s="1">
        <v>879</v>
      </c>
      <c r="K1178" s="1">
        <v>0</v>
      </c>
      <c r="L1178" s="1">
        <v>4202</v>
      </c>
      <c r="M1178" s="6">
        <f>(Table2[[#This Row],[Grand Total of Lead Service Lines Replaced]]/(Table2[[#This Row],[Total to be identified or replaced]]+Table2[[#This Row],[Grand Total of Lead Service Lines Replaced]]))</f>
        <v>0.31182443498198492</v>
      </c>
      <c r="N1178" s="1">
        <v>9826</v>
      </c>
      <c r="O1178" s="1">
        <v>14028</v>
      </c>
      <c r="P1178" t="s">
        <v>2778</v>
      </c>
      <c r="Q117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78" s="7" t="s">
        <v>2786</v>
      </c>
    </row>
    <row r="1179" spans="1:18" x14ac:dyDescent="0.25">
      <c r="A1179" t="s">
        <v>589</v>
      </c>
      <c r="B1179" t="s">
        <v>590</v>
      </c>
      <c r="C1179" s="1">
        <v>59715</v>
      </c>
      <c r="D1179" s="1">
        <v>322</v>
      </c>
      <c r="E1179" s="1">
        <v>29</v>
      </c>
      <c r="F1179" s="1">
        <v>14</v>
      </c>
      <c r="G1179" s="1">
        <v>7</v>
      </c>
      <c r="H1179" s="1">
        <v>372</v>
      </c>
      <c r="I1179" s="1">
        <v>12</v>
      </c>
      <c r="J1179" s="1">
        <v>0</v>
      </c>
      <c r="K1179" s="1">
        <v>791</v>
      </c>
      <c r="L1179" s="1">
        <v>803</v>
      </c>
      <c r="M1179" s="6">
        <f>(Table2[[#This Row],[Grand Total of Lead Service Lines Replaced]]/(Table2[[#This Row],[Total to be identified or replaced]]+Table2[[#This Row],[Grand Total of Lead Service Lines Replaced]]))</f>
        <v>0.31659574468085105</v>
      </c>
      <c r="N1179" s="1">
        <v>27206</v>
      </c>
      <c r="O1179" s="1">
        <v>28009</v>
      </c>
      <c r="P1179">
        <v>2021</v>
      </c>
      <c r="Q117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79" s="7" t="s">
        <v>2786</v>
      </c>
    </row>
    <row r="1180" spans="1:18" x14ac:dyDescent="0.25">
      <c r="A1180" t="s">
        <v>1684</v>
      </c>
      <c r="B1180" t="s">
        <v>1685</v>
      </c>
      <c r="C1180" s="1">
        <v>1544</v>
      </c>
      <c r="F1180" s="1">
        <v>32</v>
      </c>
      <c r="H1180" s="1">
        <v>32</v>
      </c>
      <c r="I1180" s="1">
        <v>0</v>
      </c>
      <c r="J1180" s="1">
        <v>50</v>
      </c>
      <c r="K1180" s="1">
        <v>18</v>
      </c>
      <c r="L1180" s="1">
        <v>68</v>
      </c>
      <c r="M1180" s="6">
        <f>(Table2[[#This Row],[Grand Total of Lead Service Lines Replaced]]/(Table2[[#This Row],[Total to be identified or replaced]]+Table2[[#This Row],[Grand Total of Lead Service Lines Replaced]]))</f>
        <v>0.32</v>
      </c>
      <c r="N1180" s="1">
        <v>697</v>
      </c>
      <c r="O1180" s="1">
        <v>766</v>
      </c>
      <c r="P1180" t="s">
        <v>2778</v>
      </c>
      <c r="Q118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80" s="7" t="s">
        <v>2786</v>
      </c>
    </row>
    <row r="1181" spans="1:18" x14ac:dyDescent="0.25">
      <c r="A1181" t="s">
        <v>327</v>
      </c>
      <c r="B1181" t="s">
        <v>328</v>
      </c>
      <c r="C1181" s="1">
        <v>8465</v>
      </c>
      <c r="E1181" s="1">
        <v>4</v>
      </c>
      <c r="F1181" s="1">
        <v>4</v>
      </c>
      <c r="H1181" s="1">
        <v>8</v>
      </c>
      <c r="I1181" s="1">
        <v>9</v>
      </c>
      <c r="J1181" s="1">
        <v>7</v>
      </c>
      <c r="K1181" s="1">
        <v>0</v>
      </c>
      <c r="L1181" s="1">
        <v>16</v>
      </c>
      <c r="M1181" s="6">
        <f>(Table2[[#This Row],[Grand Total of Lead Service Lines Replaced]]/(Table2[[#This Row],[Total to be identified or replaced]]+Table2[[#This Row],[Grand Total of Lead Service Lines Replaced]]))</f>
        <v>0.33333333333333331</v>
      </c>
      <c r="N1181" s="1">
        <v>3029</v>
      </c>
      <c r="O1181" s="1">
        <v>3045</v>
      </c>
      <c r="P1181" t="s">
        <v>2778</v>
      </c>
      <c r="Q118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81" s="7" t="s">
        <v>2786</v>
      </c>
    </row>
    <row r="1182" spans="1:18" x14ac:dyDescent="0.25">
      <c r="A1182" t="s">
        <v>2438</v>
      </c>
      <c r="B1182" t="s">
        <v>2439</v>
      </c>
      <c r="C1182" s="1">
        <v>56</v>
      </c>
      <c r="I1182" s="1">
        <v>0</v>
      </c>
      <c r="J1182" s="1">
        <v>0</v>
      </c>
      <c r="K1182" s="1">
        <v>0</v>
      </c>
      <c r="L1182" s="1">
        <v>0</v>
      </c>
      <c r="M1182" s="6" t="s">
        <v>2784</v>
      </c>
      <c r="N1182" s="1">
        <v>13</v>
      </c>
      <c r="O1182" s="1">
        <v>13</v>
      </c>
      <c r="P1182" t="s">
        <v>2778</v>
      </c>
      <c r="Q118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82" s="1" t="s">
        <v>2779</v>
      </c>
    </row>
    <row r="1183" spans="1:18" x14ac:dyDescent="0.25">
      <c r="A1183" t="s">
        <v>419</v>
      </c>
      <c r="B1183" t="s">
        <v>420</v>
      </c>
      <c r="C1183" s="1">
        <v>1282</v>
      </c>
      <c r="D1183" s="1">
        <v>2</v>
      </c>
      <c r="F1183" s="1">
        <v>1</v>
      </c>
      <c r="G1183" s="1">
        <v>2</v>
      </c>
      <c r="H1183" s="1">
        <v>5</v>
      </c>
      <c r="I1183" s="1">
        <v>3</v>
      </c>
      <c r="J1183" s="1">
        <v>7</v>
      </c>
      <c r="K1183" s="1">
        <v>0</v>
      </c>
      <c r="L1183" s="1">
        <v>10</v>
      </c>
      <c r="M1183" s="6">
        <f>(Table2[[#This Row],[Grand Total of Lead Service Lines Replaced]]/(Table2[[#This Row],[Total to be identified or replaced]]+Table2[[#This Row],[Grand Total of Lead Service Lines Replaced]]))</f>
        <v>0.33333333333333331</v>
      </c>
      <c r="N1183" s="1">
        <v>524</v>
      </c>
      <c r="O1183" s="1">
        <v>534</v>
      </c>
      <c r="P1183" t="s">
        <v>2778</v>
      </c>
      <c r="Q118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83" s="7" t="s">
        <v>2786</v>
      </c>
    </row>
    <row r="1184" spans="1:18" x14ac:dyDescent="0.25">
      <c r="A1184" t="s">
        <v>1264</v>
      </c>
      <c r="B1184" t="s">
        <v>1265</v>
      </c>
      <c r="C1184" s="1">
        <v>11597</v>
      </c>
      <c r="D1184" s="1">
        <v>10</v>
      </c>
      <c r="E1184" s="1">
        <v>3</v>
      </c>
      <c r="F1184" s="1">
        <v>6</v>
      </c>
      <c r="G1184" s="1">
        <v>7</v>
      </c>
      <c r="H1184" s="1">
        <v>26</v>
      </c>
      <c r="I1184" s="1">
        <v>0</v>
      </c>
      <c r="J1184" s="1">
        <v>20</v>
      </c>
      <c r="K1184" s="1">
        <v>31</v>
      </c>
      <c r="L1184" s="1">
        <v>51</v>
      </c>
      <c r="M1184" s="6">
        <f>(Table2[[#This Row],[Grand Total of Lead Service Lines Replaced]]/(Table2[[#This Row],[Total to be identified or replaced]]+Table2[[#This Row],[Grand Total of Lead Service Lines Replaced]]))</f>
        <v>0.33766233766233766</v>
      </c>
      <c r="N1184" s="1">
        <v>3368</v>
      </c>
      <c r="O1184" s="1">
        <v>3419</v>
      </c>
      <c r="P1184" t="s">
        <v>2778</v>
      </c>
      <c r="Q118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84" s="7" t="s">
        <v>2786</v>
      </c>
    </row>
    <row r="1185" spans="1:18" x14ac:dyDescent="0.25">
      <c r="A1185" t="s">
        <v>101</v>
      </c>
      <c r="B1185" t="s">
        <v>102</v>
      </c>
      <c r="C1185" s="1">
        <v>28210</v>
      </c>
      <c r="D1185" s="1">
        <v>8</v>
      </c>
      <c r="E1185" s="1">
        <v>55</v>
      </c>
      <c r="F1185" s="1">
        <v>15</v>
      </c>
      <c r="G1185" s="1">
        <v>43</v>
      </c>
      <c r="H1185" s="1">
        <v>121</v>
      </c>
      <c r="I1185" s="1">
        <v>236</v>
      </c>
      <c r="J1185" s="1">
        <v>0</v>
      </c>
      <c r="K1185" s="1">
        <v>0</v>
      </c>
      <c r="L1185" s="1">
        <v>236</v>
      </c>
      <c r="M1185" s="6">
        <f>(Table2[[#This Row],[Grand Total of Lead Service Lines Replaced]]/(Table2[[#This Row],[Total to be identified or replaced]]+Table2[[#This Row],[Grand Total of Lead Service Lines Replaced]]))</f>
        <v>0.33893557422969189</v>
      </c>
      <c r="N1185" s="1">
        <v>11611</v>
      </c>
      <c r="O1185" s="1">
        <v>11847</v>
      </c>
      <c r="P1185" t="s">
        <v>2778</v>
      </c>
      <c r="Q118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85" s="7" t="s">
        <v>2786</v>
      </c>
    </row>
    <row r="1186" spans="1:18" x14ac:dyDescent="0.25">
      <c r="A1186" t="s">
        <v>405</v>
      </c>
      <c r="B1186" t="s">
        <v>406</v>
      </c>
      <c r="C1186" s="1">
        <v>5769</v>
      </c>
      <c r="D1186" s="1">
        <v>84</v>
      </c>
      <c r="E1186" s="1">
        <v>94</v>
      </c>
      <c r="F1186" s="1">
        <v>91</v>
      </c>
      <c r="G1186" s="1">
        <v>189</v>
      </c>
      <c r="H1186" s="1">
        <v>458</v>
      </c>
      <c r="J1186" s="1">
        <v>884</v>
      </c>
      <c r="L1186" s="1">
        <v>884</v>
      </c>
      <c r="M1186" s="6">
        <f>(Table2[[#This Row],[Grand Total of Lead Service Lines Replaced]]/(Table2[[#This Row],[Total to be identified or replaced]]+Table2[[#This Row],[Grand Total of Lead Service Lines Replaced]]))</f>
        <v>0.3412816691505216</v>
      </c>
      <c r="N1186" s="1">
        <v>1001</v>
      </c>
      <c r="O1186" s="1">
        <v>1885</v>
      </c>
      <c r="P1186" t="s">
        <v>2778</v>
      </c>
      <c r="Q118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86" s="7" t="s">
        <v>2786</v>
      </c>
    </row>
    <row r="1187" spans="1:18" x14ac:dyDescent="0.25">
      <c r="A1187" t="s">
        <v>991</v>
      </c>
      <c r="B1187" t="s">
        <v>992</v>
      </c>
      <c r="C1187" s="1">
        <v>880</v>
      </c>
      <c r="D1187" s="1">
        <v>5</v>
      </c>
      <c r="E1187" s="1">
        <v>10</v>
      </c>
      <c r="G1187" s="1">
        <v>116</v>
      </c>
      <c r="H1187" s="1">
        <v>131</v>
      </c>
      <c r="I1187" s="1">
        <v>177</v>
      </c>
      <c r="J1187" s="1">
        <v>65</v>
      </c>
      <c r="K1187" s="1">
        <v>0</v>
      </c>
      <c r="L1187" s="1">
        <v>242</v>
      </c>
      <c r="M1187" s="6">
        <f>(Table2[[#This Row],[Grand Total of Lead Service Lines Replaced]]/(Table2[[#This Row],[Total to be identified or replaced]]+Table2[[#This Row],[Grand Total of Lead Service Lines Replaced]]))</f>
        <v>0.3512064343163539</v>
      </c>
      <c r="N1187" s="1">
        <v>240</v>
      </c>
      <c r="O1187" s="1">
        <v>482</v>
      </c>
      <c r="P1187" t="s">
        <v>2778</v>
      </c>
      <c r="Q118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87" s="7" t="s">
        <v>2786</v>
      </c>
    </row>
    <row r="1188" spans="1:18" x14ac:dyDescent="0.25">
      <c r="A1188" t="s">
        <v>225</v>
      </c>
      <c r="B1188" t="s">
        <v>226</v>
      </c>
      <c r="C1188" s="1">
        <v>44058</v>
      </c>
      <c r="D1188" s="1">
        <v>713</v>
      </c>
      <c r="E1188" s="1">
        <v>1143</v>
      </c>
      <c r="F1188" s="1">
        <v>931</v>
      </c>
      <c r="G1188" s="1">
        <v>1133</v>
      </c>
      <c r="H1188" s="1">
        <v>3920</v>
      </c>
      <c r="I1188" s="1">
        <v>6317</v>
      </c>
      <c r="J1188" s="1">
        <v>0</v>
      </c>
      <c r="K1188" s="1">
        <v>736</v>
      </c>
      <c r="L1188" s="1">
        <v>7053</v>
      </c>
      <c r="M1188" s="6">
        <f>(Table2[[#This Row],[Grand Total of Lead Service Lines Replaced]]/(Table2[[#This Row],[Total to be identified or replaced]]+Table2[[#This Row],[Grand Total of Lead Service Lines Replaced]]))</f>
        <v>0.35724049940763691</v>
      </c>
      <c r="N1188" s="1">
        <v>19769</v>
      </c>
      <c r="O1188" s="1">
        <v>26822</v>
      </c>
      <c r="P1188" t="s">
        <v>2778</v>
      </c>
      <c r="Q118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88" s="7" t="s">
        <v>2786</v>
      </c>
    </row>
    <row r="1189" spans="1:18" x14ac:dyDescent="0.25">
      <c r="A1189" t="s">
        <v>2609</v>
      </c>
      <c r="B1189" t="s">
        <v>2610</v>
      </c>
      <c r="C1189" s="1">
        <v>79</v>
      </c>
      <c r="I1189" s="1">
        <v>0</v>
      </c>
      <c r="J1189" s="1">
        <v>0</v>
      </c>
      <c r="K1189" s="1">
        <v>0</v>
      </c>
      <c r="L1189" s="1">
        <v>0</v>
      </c>
      <c r="M1189" s="6" t="s">
        <v>2784</v>
      </c>
      <c r="N1189" s="1">
        <v>48</v>
      </c>
      <c r="O1189" s="1">
        <v>48</v>
      </c>
      <c r="P1189" t="s">
        <v>2778</v>
      </c>
      <c r="Q118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89" s="1" t="s">
        <v>2779</v>
      </c>
    </row>
    <row r="1190" spans="1:18" x14ac:dyDescent="0.25">
      <c r="A1190" t="s">
        <v>2444</v>
      </c>
      <c r="B1190" t="s">
        <v>2445</v>
      </c>
      <c r="C1190" s="1">
        <v>862</v>
      </c>
      <c r="I1190" s="1">
        <v>0</v>
      </c>
      <c r="J1190" s="1">
        <v>0</v>
      </c>
      <c r="K1190" s="1">
        <v>0</v>
      </c>
      <c r="L1190" s="1">
        <v>0</v>
      </c>
      <c r="M1190" s="6" t="s">
        <v>2784</v>
      </c>
      <c r="N1190" s="1">
        <v>419</v>
      </c>
      <c r="O1190" s="1">
        <v>419</v>
      </c>
      <c r="P1190" t="s">
        <v>2778</v>
      </c>
      <c r="Q119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90" s="1" t="s">
        <v>2779</v>
      </c>
    </row>
    <row r="1191" spans="1:18" x14ac:dyDescent="0.25">
      <c r="A1191" t="s">
        <v>1350</v>
      </c>
      <c r="B1191" t="s">
        <v>1351</v>
      </c>
      <c r="C1191" s="1">
        <v>4140</v>
      </c>
      <c r="D1191" s="1">
        <v>5</v>
      </c>
      <c r="E1191" s="1">
        <v>21</v>
      </c>
      <c r="F1191" s="1">
        <v>16</v>
      </c>
      <c r="G1191" s="1">
        <v>18</v>
      </c>
      <c r="H1191" s="1">
        <v>60</v>
      </c>
      <c r="I1191" s="1">
        <v>0</v>
      </c>
      <c r="J1191" s="1">
        <v>56</v>
      </c>
      <c r="K1191" s="1">
        <v>49</v>
      </c>
      <c r="L1191" s="1">
        <v>105</v>
      </c>
      <c r="M1191" s="6">
        <f>(Table2[[#This Row],[Grand Total of Lead Service Lines Replaced]]/(Table2[[#This Row],[Total to be identified or replaced]]+Table2[[#This Row],[Grand Total of Lead Service Lines Replaced]]))</f>
        <v>0.36363636363636365</v>
      </c>
      <c r="N1191" s="1">
        <v>1530</v>
      </c>
      <c r="O1191" s="1">
        <v>1635</v>
      </c>
      <c r="P1191" t="s">
        <v>2778</v>
      </c>
      <c r="Q119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91" s="7" t="s">
        <v>2786</v>
      </c>
    </row>
    <row r="1192" spans="1:18" x14ac:dyDescent="0.25">
      <c r="A1192" t="s">
        <v>2197</v>
      </c>
      <c r="B1192" t="s">
        <v>2198</v>
      </c>
      <c r="C1192" s="1">
        <v>1808</v>
      </c>
      <c r="G1192" s="1">
        <v>14</v>
      </c>
      <c r="H1192" s="1">
        <v>14</v>
      </c>
      <c r="I1192" s="1">
        <v>17</v>
      </c>
      <c r="J1192" s="1">
        <v>2</v>
      </c>
      <c r="K1192" s="1">
        <v>3</v>
      </c>
      <c r="L1192" s="1">
        <v>22</v>
      </c>
      <c r="M1192" s="6">
        <f>(Table2[[#This Row],[Grand Total of Lead Service Lines Replaced]]/(Table2[[#This Row],[Total to be identified or replaced]]+Table2[[#This Row],[Grand Total of Lead Service Lines Replaced]]))</f>
        <v>0.3888888888888889</v>
      </c>
      <c r="N1192" s="1">
        <v>962</v>
      </c>
      <c r="O1192" s="1">
        <v>984</v>
      </c>
      <c r="P1192" t="s">
        <v>2778</v>
      </c>
      <c r="Q119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92" s="7" t="s">
        <v>2786</v>
      </c>
    </row>
    <row r="1193" spans="1:18" x14ac:dyDescent="0.25">
      <c r="A1193" t="s">
        <v>2611</v>
      </c>
      <c r="B1193" t="s">
        <v>2612</v>
      </c>
      <c r="C1193" s="1">
        <v>285</v>
      </c>
      <c r="I1193" s="1">
        <v>0</v>
      </c>
      <c r="J1193" s="1">
        <v>0</v>
      </c>
      <c r="K1193" s="1">
        <v>0</v>
      </c>
      <c r="L1193" s="1">
        <v>0</v>
      </c>
      <c r="M1193" s="6" t="s">
        <v>2784</v>
      </c>
      <c r="N1193" s="1">
        <v>125</v>
      </c>
      <c r="O1193" s="1">
        <v>125</v>
      </c>
      <c r="P1193" t="s">
        <v>2778</v>
      </c>
      <c r="Q119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93" s="1" t="s">
        <v>2779</v>
      </c>
    </row>
    <row r="1194" spans="1:18" x14ac:dyDescent="0.25">
      <c r="A1194" t="s">
        <v>2450</v>
      </c>
      <c r="B1194" t="s">
        <v>2451</v>
      </c>
      <c r="C1194" s="1">
        <v>367</v>
      </c>
      <c r="I1194" s="1">
        <v>0</v>
      </c>
      <c r="J1194" s="1">
        <v>0</v>
      </c>
      <c r="L1194" s="1">
        <v>0</v>
      </c>
      <c r="M1194" s="6" t="s">
        <v>2784</v>
      </c>
      <c r="N1194" s="1">
        <v>137</v>
      </c>
      <c r="O1194" s="1">
        <v>137</v>
      </c>
      <c r="P1194" t="s">
        <v>2778</v>
      </c>
      <c r="Q119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94" s="1" t="s">
        <v>2779</v>
      </c>
    </row>
    <row r="1195" spans="1:18" x14ac:dyDescent="0.25">
      <c r="A1195" t="s">
        <v>2613</v>
      </c>
      <c r="B1195" t="s">
        <v>2614</v>
      </c>
      <c r="C1195" s="1">
        <v>647</v>
      </c>
      <c r="I1195" s="1">
        <v>0</v>
      </c>
      <c r="J1195" s="1">
        <v>0</v>
      </c>
      <c r="K1195" s="1">
        <v>0</v>
      </c>
      <c r="L1195" s="1">
        <v>0</v>
      </c>
      <c r="M1195" s="6" t="s">
        <v>2784</v>
      </c>
      <c r="N1195" s="1">
        <v>308</v>
      </c>
      <c r="O1195" s="1">
        <v>308</v>
      </c>
      <c r="P1195" t="s">
        <v>2778</v>
      </c>
      <c r="Q119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95" s="1" t="s">
        <v>2779</v>
      </c>
    </row>
    <row r="1196" spans="1:18" x14ac:dyDescent="0.25">
      <c r="A1196" t="s">
        <v>2452</v>
      </c>
      <c r="B1196" t="s">
        <v>2453</v>
      </c>
      <c r="C1196" s="1">
        <v>95</v>
      </c>
      <c r="I1196" s="1">
        <v>0</v>
      </c>
      <c r="J1196" s="1">
        <v>0</v>
      </c>
      <c r="K1196" s="1">
        <v>0</v>
      </c>
      <c r="L1196" s="1">
        <v>0</v>
      </c>
      <c r="M1196" s="6" t="s">
        <v>2784</v>
      </c>
      <c r="N1196" s="1">
        <v>49</v>
      </c>
      <c r="O1196" s="1">
        <v>49</v>
      </c>
      <c r="P1196" t="s">
        <v>2778</v>
      </c>
      <c r="Q119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96" s="1" t="s">
        <v>2779</v>
      </c>
    </row>
    <row r="1197" spans="1:18" x14ac:dyDescent="0.25">
      <c r="A1197" t="s">
        <v>277</v>
      </c>
      <c r="B1197" t="s">
        <v>278</v>
      </c>
      <c r="C1197" s="1">
        <v>192992</v>
      </c>
      <c r="D1197" s="1">
        <v>940</v>
      </c>
      <c r="E1197" s="1">
        <v>829</v>
      </c>
      <c r="F1197" s="1">
        <v>363</v>
      </c>
      <c r="G1197" s="1">
        <v>810</v>
      </c>
      <c r="H1197" s="1">
        <v>2942</v>
      </c>
      <c r="I1197" s="1">
        <v>4328</v>
      </c>
      <c r="J1197" s="1">
        <v>286</v>
      </c>
      <c r="K1197" s="1">
        <v>0</v>
      </c>
      <c r="L1197" s="1">
        <v>4614</v>
      </c>
      <c r="M1197" s="6">
        <f>(Table2[[#This Row],[Grand Total of Lead Service Lines Replaced]]/(Table2[[#This Row],[Total to be identified or replaced]]+Table2[[#This Row],[Grand Total of Lead Service Lines Replaced]]))</f>
        <v>0.38935944944415035</v>
      </c>
      <c r="N1197" s="1">
        <v>42326</v>
      </c>
      <c r="O1197" s="1">
        <v>46940</v>
      </c>
      <c r="P1197" t="s">
        <v>2778</v>
      </c>
      <c r="Q119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197" s="7" t="s">
        <v>2786</v>
      </c>
    </row>
    <row r="1198" spans="1:18" x14ac:dyDescent="0.25">
      <c r="A1198" t="s">
        <v>2617</v>
      </c>
      <c r="B1198" t="s">
        <v>2618</v>
      </c>
      <c r="C1198" s="1">
        <v>150</v>
      </c>
      <c r="I1198" s="1">
        <v>0</v>
      </c>
      <c r="J1198" s="1">
        <v>0</v>
      </c>
      <c r="K1198" s="1">
        <v>0</v>
      </c>
      <c r="L1198" s="1">
        <v>0</v>
      </c>
      <c r="M1198" s="6" t="s">
        <v>2784</v>
      </c>
      <c r="N1198" s="1">
        <v>78</v>
      </c>
      <c r="O1198" s="1">
        <v>78</v>
      </c>
      <c r="P1198" t="s">
        <v>2778</v>
      </c>
      <c r="Q119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98" s="1" t="s">
        <v>2779</v>
      </c>
    </row>
    <row r="1199" spans="1:18" x14ac:dyDescent="0.25">
      <c r="A1199" t="s">
        <v>2454</v>
      </c>
      <c r="B1199" t="s">
        <v>2455</v>
      </c>
      <c r="C1199" s="1">
        <v>150</v>
      </c>
      <c r="I1199" s="1">
        <v>0</v>
      </c>
      <c r="J1199" s="1">
        <v>0</v>
      </c>
      <c r="K1199" s="1">
        <v>0</v>
      </c>
      <c r="L1199" s="1">
        <v>0</v>
      </c>
      <c r="M1199" s="6" t="s">
        <v>2784</v>
      </c>
      <c r="N1199" s="1">
        <v>72</v>
      </c>
      <c r="O1199" s="1">
        <v>72</v>
      </c>
      <c r="P1199" t="s">
        <v>2778</v>
      </c>
      <c r="Q11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199" s="1" t="s">
        <v>2779</v>
      </c>
    </row>
    <row r="1200" spans="1:18" x14ac:dyDescent="0.25">
      <c r="A1200" t="s">
        <v>973</v>
      </c>
      <c r="B1200" t="s">
        <v>974</v>
      </c>
      <c r="C1200" s="1">
        <v>90</v>
      </c>
      <c r="L1200" s="1">
        <v>0</v>
      </c>
      <c r="M1200" s="6" t="s">
        <v>2784</v>
      </c>
      <c r="P1200">
        <v>2025</v>
      </c>
      <c r="Q1200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200" s="1" t="s">
        <v>2782</v>
      </c>
    </row>
    <row r="1201" spans="1:18" x14ac:dyDescent="0.25">
      <c r="A1201" t="s">
        <v>2193</v>
      </c>
      <c r="B1201" t="s">
        <v>2194</v>
      </c>
      <c r="C1201" s="1">
        <v>270</v>
      </c>
      <c r="L1201" s="1">
        <v>0</v>
      </c>
      <c r="M1201" s="6" t="s">
        <v>2784</v>
      </c>
      <c r="P1201" t="s">
        <v>2778</v>
      </c>
      <c r="Q1201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201" s="1" t="s">
        <v>2782</v>
      </c>
    </row>
    <row r="1202" spans="1:18" x14ac:dyDescent="0.25">
      <c r="A1202" t="s">
        <v>2621</v>
      </c>
      <c r="B1202" t="s">
        <v>2622</v>
      </c>
      <c r="C1202" s="1">
        <v>170</v>
      </c>
      <c r="I1202" s="1">
        <v>0</v>
      </c>
      <c r="J1202" s="1">
        <v>0</v>
      </c>
      <c r="K1202" s="1">
        <v>0</v>
      </c>
      <c r="L1202" s="1">
        <v>0</v>
      </c>
      <c r="M1202" s="6" t="s">
        <v>2784</v>
      </c>
      <c r="N1202" s="1">
        <v>71</v>
      </c>
      <c r="O1202" s="1">
        <v>71</v>
      </c>
      <c r="P1202" t="s">
        <v>2778</v>
      </c>
      <c r="Q120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02" s="1" t="s">
        <v>2779</v>
      </c>
    </row>
    <row r="1203" spans="1:18" x14ac:dyDescent="0.25">
      <c r="A1203" t="s">
        <v>2456</v>
      </c>
      <c r="B1203" t="s">
        <v>2457</v>
      </c>
      <c r="C1203" s="1">
        <v>100</v>
      </c>
      <c r="I1203" s="1">
        <v>0</v>
      </c>
      <c r="J1203" s="1">
        <v>0</v>
      </c>
      <c r="K1203" s="1">
        <v>0</v>
      </c>
      <c r="L1203" s="1">
        <v>0</v>
      </c>
      <c r="M1203" s="6" t="s">
        <v>2784</v>
      </c>
      <c r="N1203" s="1">
        <v>74</v>
      </c>
      <c r="O1203" s="1">
        <v>74</v>
      </c>
      <c r="P1203" t="s">
        <v>2778</v>
      </c>
      <c r="Q120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03" s="1" t="s">
        <v>2779</v>
      </c>
    </row>
    <row r="1204" spans="1:18" x14ac:dyDescent="0.25">
      <c r="A1204" t="s">
        <v>2458</v>
      </c>
      <c r="B1204" t="s">
        <v>2459</v>
      </c>
      <c r="C1204" s="1">
        <v>25355</v>
      </c>
      <c r="I1204" s="1">
        <v>0</v>
      </c>
      <c r="J1204" s="1">
        <v>0</v>
      </c>
      <c r="K1204" s="1">
        <v>0</v>
      </c>
      <c r="L1204" s="1">
        <v>0</v>
      </c>
      <c r="M1204" s="6" t="s">
        <v>2784</v>
      </c>
      <c r="N1204" s="1">
        <v>7870</v>
      </c>
      <c r="O1204" s="1">
        <v>7870</v>
      </c>
      <c r="P1204" t="s">
        <v>2778</v>
      </c>
      <c r="Q120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04" s="1" t="s">
        <v>2779</v>
      </c>
    </row>
    <row r="1205" spans="1:18" x14ac:dyDescent="0.25">
      <c r="A1205" t="s">
        <v>2623</v>
      </c>
      <c r="B1205" t="s">
        <v>2624</v>
      </c>
      <c r="C1205" s="1">
        <v>9576</v>
      </c>
      <c r="L1205" s="1">
        <v>0</v>
      </c>
      <c r="M1205" s="6" t="s">
        <v>2784</v>
      </c>
      <c r="N1205" s="1">
        <v>3401</v>
      </c>
      <c r="O1205" s="1">
        <v>3401</v>
      </c>
      <c r="P1205" t="s">
        <v>2778</v>
      </c>
      <c r="Q120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05" s="1" t="s">
        <v>2779</v>
      </c>
    </row>
    <row r="1206" spans="1:18" x14ac:dyDescent="0.25">
      <c r="A1206" t="s">
        <v>2625</v>
      </c>
      <c r="B1206" t="s">
        <v>2626</v>
      </c>
      <c r="C1206" s="1">
        <v>98</v>
      </c>
      <c r="L1206" s="1">
        <v>0</v>
      </c>
      <c r="M1206" s="6" t="s">
        <v>2784</v>
      </c>
      <c r="N1206" s="1">
        <v>8</v>
      </c>
      <c r="O1206" s="1">
        <v>8</v>
      </c>
      <c r="P1206" t="s">
        <v>2778</v>
      </c>
      <c r="Q120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06" s="1" t="s">
        <v>2779</v>
      </c>
    </row>
    <row r="1207" spans="1:18" x14ac:dyDescent="0.25">
      <c r="A1207" t="s">
        <v>2460</v>
      </c>
      <c r="B1207" t="s">
        <v>2461</v>
      </c>
      <c r="C1207" s="1">
        <v>680</v>
      </c>
      <c r="I1207" s="1">
        <v>0</v>
      </c>
      <c r="J1207" s="1">
        <v>0</v>
      </c>
      <c r="K1207" s="1">
        <v>0</v>
      </c>
      <c r="L1207" s="1">
        <v>0</v>
      </c>
      <c r="M1207" s="6" t="s">
        <v>2784</v>
      </c>
      <c r="N1207" s="1">
        <v>250</v>
      </c>
      <c r="O1207" s="1">
        <v>250</v>
      </c>
      <c r="P1207" t="s">
        <v>2778</v>
      </c>
      <c r="Q120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07" s="1" t="s">
        <v>2779</v>
      </c>
    </row>
    <row r="1208" spans="1:18" x14ac:dyDescent="0.25">
      <c r="A1208" t="s">
        <v>2462</v>
      </c>
      <c r="B1208" t="s">
        <v>2463</v>
      </c>
      <c r="C1208" s="1">
        <v>190</v>
      </c>
      <c r="I1208" s="1">
        <v>0</v>
      </c>
      <c r="J1208" s="1">
        <v>0</v>
      </c>
      <c r="K1208" s="1">
        <v>0</v>
      </c>
      <c r="L1208" s="1">
        <v>0</v>
      </c>
      <c r="M1208" s="6" t="s">
        <v>2784</v>
      </c>
      <c r="N1208" s="1">
        <v>40</v>
      </c>
      <c r="O1208" s="1">
        <v>40</v>
      </c>
      <c r="P1208" t="s">
        <v>2778</v>
      </c>
      <c r="Q120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08" s="1" t="s">
        <v>2779</v>
      </c>
    </row>
    <row r="1209" spans="1:18" x14ac:dyDescent="0.25">
      <c r="A1209" t="s">
        <v>2629</v>
      </c>
      <c r="B1209" t="s">
        <v>2630</v>
      </c>
      <c r="C1209" s="1">
        <v>120</v>
      </c>
      <c r="I1209" s="1">
        <v>0</v>
      </c>
      <c r="J1209" s="1">
        <v>0</v>
      </c>
      <c r="K1209" s="1">
        <v>0</v>
      </c>
      <c r="L1209" s="1">
        <v>0</v>
      </c>
      <c r="M1209" s="6" t="s">
        <v>2784</v>
      </c>
      <c r="N1209" s="1">
        <v>48</v>
      </c>
      <c r="O1209" s="1">
        <v>48</v>
      </c>
      <c r="P1209" t="s">
        <v>2778</v>
      </c>
      <c r="Q120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09" s="1" t="s">
        <v>2779</v>
      </c>
    </row>
    <row r="1210" spans="1:18" x14ac:dyDescent="0.25">
      <c r="A1210" t="s">
        <v>2466</v>
      </c>
      <c r="B1210" t="s">
        <v>2467</v>
      </c>
      <c r="C1210" s="1">
        <v>29</v>
      </c>
      <c r="I1210" s="1">
        <v>0</v>
      </c>
      <c r="J1210" s="1">
        <v>0</v>
      </c>
      <c r="K1210" s="1">
        <v>0</v>
      </c>
      <c r="L1210" s="1">
        <v>0</v>
      </c>
      <c r="M1210" s="6" t="s">
        <v>2784</v>
      </c>
      <c r="N1210" s="1">
        <v>18</v>
      </c>
      <c r="O1210" s="1">
        <v>18</v>
      </c>
      <c r="P1210" t="s">
        <v>2778</v>
      </c>
      <c r="Q121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10" s="1" t="s">
        <v>2779</v>
      </c>
    </row>
    <row r="1211" spans="1:18" x14ac:dyDescent="0.25">
      <c r="A1211" t="s">
        <v>2631</v>
      </c>
      <c r="B1211" t="s">
        <v>2632</v>
      </c>
      <c r="C1211" s="1">
        <v>50</v>
      </c>
      <c r="I1211" s="1">
        <v>0</v>
      </c>
      <c r="J1211" s="1">
        <v>0</v>
      </c>
      <c r="K1211" s="1">
        <v>0</v>
      </c>
      <c r="L1211" s="1">
        <v>0</v>
      </c>
      <c r="M1211" s="6" t="s">
        <v>2784</v>
      </c>
      <c r="N1211" s="1">
        <v>20</v>
      </c>
      <c r="O1211" s="1">
        <v>20</v>
      </c>
      <c r="P1211" t="s">
        <v>2778</v>
      </c>
      <c r="Q121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11" s="1" t="s">
        <v>2779</v>
      </c>
    </row>
    <row r="1212" spans="1:18" x14ac:dyDescent="0.25">
      <c r="A1212" t="s">
        <v>2633</v>
      </c>
      <c r="B1212" t="s">
        <v>2634</v>
      </c>
      <c r="C1212" s="1">
        <v>53</v>
      </c>
      <c r="I1212" s="1">
        <v>0</v>
      </c>
      <c r="J1212" s="1">
        <v>0</v>
      </c>
      <c r="K1212" s="1">
        <v>0</v>
      </c>
      <c r="L1212" s="1">
        <v>0</v>
      </c>
      <c r="M1212" s="6" t="s">
        <v>2784</v>
      </c>
      <c r="N1212" s="1">
        <v>50</v>
      </c>
      <c r="O1212" s="1">
        <v>50</v>
      </c>
      <c r="P1212" t="s">
        <v>2778</v>
      </c>
      <c r="Q121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12" s="1" t="s">
        <v>2779</v>
      </c>
    </row>
    <row r="1213" spans="1:18" x14ac:dyDescent="0.25">
      <c r="A1213" t="s">
        <v>2635</v>
      </c>
      <c r="B1213" t="s">
        <v>2636</v>
      </c>
      <c r="C1213" s="1">
        <v>263</v>
      </c>
      <c r="I1213" s="1">
        <v>0</v>
      </c>
      <c r="J1213" s="1">
        <v>0</v>
      </c>
      <c r="K1213" s="1">
        <v>0</v>
      </c>
      <c r="L1213" s="1">
        <v>0</v>
      </c>
      <c r="M1213" s="6" t="s">
        <v>2784</v>
      </c>
      <c r="N1213" s="1">
        <v>105</v>
      </c>
      <c r="O1213" s="1">
        <v>105</v>
      </c>
      <c r="P1213" t="s">
        <v>2778</v>
      </c>
      <c r="Q121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13" s="1" t="s">
        <v>2779</v>
      </c>
    </row>
    <row r="1214" spans="1:18" x14ac:dyDescent="0.25">
      <c r="A1214" t="s">
        <v>2637</v>
      </c>
      <c r="B1214" t="s">
        <v>2638</v>
      </c>
      <c r="C1214" s="1">
        <v>360</v>
      </c>
      <c r="I1214" s="1">
        <v>0</v>
      </c>
      <c r="J1214" s="1">
        <v>0</v>
      </c>
      <c r="K1214" s="1">
        <v>0</v>
      </c>
      <c r="L1214" s="1">
        <v>0</v>
      </c>
      <c r="M1214" s="6" t="s">
        <v>2784</v>
      </c>
      <c r="N1214" s="1">
        <v>455</v>
      </c>
      <c r="O1214" s="1">
        <v>455</v>
      </c>
      <c r="P1214" t="s">
        <v>2778</v>
      </c>
      <c r="Q121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14" s="1" t="s">
        <v>2779</v>
      </c>
    </row>
    <row r="1215" spans="1:18" x14ac:dyDescent="0.25">
      <c r="A1215" t="s">
        <v>2639</v>
      </c>
      <c r="B1215" t="s">
        <v>2640</v>
      </c>
      <c r="C1215" s="1">
        <v>200</v>
      </c>
      <c r="I1215" s="1">
        <v>0</v>
      </c>
      <c r="J1215" s="1">
        <v>0</v>
      </c>
      <c r="K1215" s="1">
        <v>0</v>
      </c>
      <c r="L1215" s="1">
        <v>0</v>
      </c>
      <c r="M1215" s="6" t="s">
        <v>2784</v>
      </c>
      <c r="N1215" s="1">
        <v>80</v>
      </c>
      <c r="O1215" s="1">
        <v>80</v>
      </c>
      <c r="P1215" t="s">
        <v>2778</v>
      </c>
      <c r="Q12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15" s="1" t="s">
        <v>2779</v>
      </c>
    </row>
    <row r="1216" spans="1:18" x14ac:dyDescent="0.25">
      <c r="A1216" t="s">
        <v>1602</v>
      </c>
      <c r="B1216" t="s">
        <v>1603</v>
      </c>
      <c r="C1216" s="1">
        <v>1872</v>
      </c>
      <c r="D1216" s="1">
        <v>11</v>
      </c>
      <c r="F1216" s="1">
        <v>21</v>
      </c>
      <c r="G1216" s="1">
        <v>21</v>
      </c>
      <c r="H1216" s="1">
        <v>53</v>
      </c>
      <c r="I1216" s="1">
        <v>81</v>
      </c>
      <c r="J1216" s="1">
        <v>1</v>
      </c>
      <c r="L1216" s="1">
        <v>82</v>
      </c>
      <c r="M1216" s="6">
        <f>(Table2[[#This Row],[Grand Total of Lead Service Lines Replaced]]/(Table2[[#This Row],[Total to be identified or replaced]]+Table2[[#This Row],[Grand Total of Lead Service Lines Replaced]]))</f>
        <v>0.3925925925925926</v>
      </c>
      <c r="N1216" s="1">
        <v>693</v>
      </c>
      <c r="O1216" s="1">
        <v>775</v>
      </c>
      <c r="P1216">
        <v>2022</v>
      </c>
      <c r="Q121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16" s="7" t="s">
        <v>2786</v>
      </c>
    </row>
    <row r="1217" spans="1:18" x14ac:dyDescent="0.25">
      <c r="A1217" t="s">
        <v>1404</v>
      </c>
      <c r="B1217" t="s">
        <v>1405</v>
      </c>
      <c r="C1217" s="1">
        <v>767</v>
      </c>
      <c r="I1217" s="1">
        <v>0</v>
      </c>
      <c r="J1217" s="1">
        <v>0</v>
      </c>
      <c r="K1217" s="1">
        <v>0</v>
      </c>
      <c r="L1217" s="1">
        <v>0</v>
      </c>
      <c r="M1217" s="6" t="s">
        <v>2784</v>
      </c>
      <c r="N1217" s="1">
        <v>319</v>
      </c>
      <c r="O1217" s="1">
        <v>319</v>
      </c>
      <c r="P1217" t="s">
        <v>2778</v>
      </c>
      <c r="Q121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17" s="1" t="s">
        <v>2779</v>
      </c>
    </row>
    <row r="1218" spans="1:18" x14ac:dyDescent="0.25">
      <c r="A1218" t="s">
        <v>2470</v>
      </c>
      <c r="B1218" t="s">
        <v>1405</v>
      </c>
      <c r="C1218" s="1">
        <v>6830</v>
      </c>
      <c r="I1218" s="1">
        <v>0</v>
      </c>
      <c r="J1218" s="1">
        <v>0</v>
      </c>
      <c r="K1218" s="1">
        <v>0</v>
      </c>
      <c r="L1218" s="1">
        <v>0</v>
      </c>
      <c r="M1218" s="6" t="s">
        <v>2784</v>
      </c>
      <c r="N1218" s="1">
        <v>2632</v>
      </c>
      <c r="O1218" s="1">
        <v>2632</v>
      </c>
      <c r="P1218" t="s">
        <v>2778</v>
      </c>
      <c r="Q121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18" s="1" t="s">
        <v>2779</v>
      </c>
    </row>
    <row r="1219" spans="1:18" x14ac:dyDescent="0.25">
      <c r="A1219" t="s">
        <v>951</v>
      </c>
      <c r="B1219" t="s">
        <v>952</v>
      </c>
      <c r="C1219" s="1">
        <v>2479</v>
      </c>
      <c r="D1219" s="1">
        <v>24</v>
      </c>
      <c r="E1219" s="1">
        <v>77</v>
      </c>
      <c r="F1219" s="1">
        <v>46</v>
      </c>
      <c r="G1219" s="1">
        <v>18</v>
      </c>
      <c r="H1219" s="1">
        <v>165</v>
      </c>
      <c r="I1219" s="1">
        <v>71</v>
      </c>
      <c r="J1219" s="1">
        <v>184</v>
      </c>
      <c r="K1219" s="1">
        <v>0</v>
      </c>
      <c r="L1219" s="1">
        <v>255</v>
      </c>
      <c r="M1219" s="6">
        <f>(Table2[[#This Row],[Grand Total of Lead Service Lines Replaced]]/(Table2[[#This Row],[Total to be identified or replaced]]+Table2[[#This Row],[Grand Total of Lead Service Lines Replaced]]))</f>
        <v>0.39285714285714285</v>
      </c>
      <c r="N1219" s="1">
        <v>874</v>
      </c>
      <c r="O1219" s="1">
        <v>1129</v>
      </c>
      <c r="P1219" t="s">
        <v>2778</v>
      </c>
      <c r="Q121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19" s="7" t="s">
        <v>2786</v>
      </c>
    </row>
    <row r="1220" spans="1:18" x14ac:dyDescent="0.25">
      <c r="A1220" t="s">
        <v>2471</v>
      </c>
      <c r="B1220" t="s">
        <v>2472</v>
      </c>
      <c r="C1220" s="1">
        <v>2023</v>
      </c>
      <c r="I1220" s="1">
        <v>0</v>
      </c>
      <c r="J1220" s="1">
        <v>0</v>
      </c>
      <c r="K1220" s="1">
        <v>0</v>
      </c>
      <c r="L1220" s="1">
        <v>0</v>
      </c>
      <c r="M1220" s="6" t="s">
        <v>2784</v>
      </c>
      <c r="N1220" s="1">
        <v>1008</v>
      </c>
      <c r="O1220" s="1">
        <v>1008</v>
      </c>
      <c r="P1220" t="s">
        <v>2778</v>
      </c>
      <c r="Q122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20" s="1" t="s">
        <v>2779</v>
      </c>
    </row>
    <row r="1221" spans="1:18" x14ac:dyDescent="0.25">
      <c r="A1221" t="s">
        <v>2257</v>
      </c>
      <c r="B1221" t="s">
        <v>2258</v>
      </c>
      <c r="C1221" s="1">
        <v>125</v>
      </c>
      <c r="L1221" s="1">
        <v>0</v>
      </c>
      <c r="M1221" s="6" t="s">
        <v>2784</v>
      </c>
      <c r="P1221" t="s">
        <v>2778</v>
      </c>
      <c r="Q1221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221" s="1" t="s">
        <v>2782</v>
      </c>
    </row>
    <row r="1222" spans="1:18" x14ac:dyDescent="0.25">
      <c r="A1222" t="s">
        <v>2643</v>
      </c>
      <c r="B1222" t="s">
        <v>2644</v>
      </c>
      <c r="C1222" s="1">
        <v>400</v>
      </c>
      <c r="I1222" s="1">
        <v>0</v>
      </c>
      <c r="J1222" s="1">
        <v>0</v>
      </c>
      <c r="K1222" s="1">
        <v>0</v>
      </c>
      <c r="L1222" s="1">
        <v>0</v>
      </c>
      <c r="M1222" s="6" t="s">
        <v>2784</v>
      </c>
      <c r="N1222" s="1">
        <v>168</v>
      </c>
      <c r="O1222" s="1">
        <v>168</v>
      </c>
      <c r="P1222" t="s">
        <v>2778</v>
      </c>
      <c r="Q122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22" s="1" t="s">
        <v>2779</v>
      </c>
    </row>
    <row r="1223" spans="1:18" x14ac:dyDescent="0.25">
      <c r="A1223" t="s">
        <v>2475</v>
      </c>
      <c r="B1223" t="s">
        <v>2476</v>
      </c>
      <c r="C1223" s="1">
        <v>5800</v>
      </c>
      <c r="I1223" s="1">
        <v>0</v>
      </c>
      <c r="J1223" s="1">
        <v>0</v>
      </c>
      <c r="K1223" s="1">
        <v>0</v>
      </c>
      <c r="L1223" s="1">
        <v>0</v>
      </c>
      <c r="M1223" s="6" t="s">
        <v>2784</v>
      </c>
      <c r="N1223" s="1">
        <v>2226</v>
      </c>
      <c r="O1223" s="1">
        <v>2226</v>
      </c>
      <c r="P1223" t="s">
        <v>2778</v>
      </c>
      <c r="Q12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23" s="1" t="s">
        <v>2779</v>
      </c>
    </row>
    <row r="1224" spans="1:18" x14ac:dyDescent="0.25">
      <c r="A1224" t="s">
        <v>1013</v>
      </c>
      <c r="B1224" t="s">
        <v>1014</v>
      </c>
      <c r="C1224" s="1">
        <v>80</v>
      </c>
      <c r="I1224" s="1">
        <v>0</v>
      </c>
      <c r="J1224" s="1">
        <v>0</v>
      </c>
      <c r="K1224" s="1">
        <v>0</v>
      </c>
      <c r="L1224" s="1">
        <v>0</v>
      </c>
      <c r="M1224" s="6" t="s">
        <v>2784</v>
      </c>
      <c r="N1224" s="1">
        <v>53</v>
      </c>
      <c r="O1224" s="1">
        <v>53</v>
      </c>
      <c r="P1224" t="s">
        <v>2778</v>
      </c>
      <c r="Q122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24" s="1" t="s">
        <v>2779</v>
      </c>
    </row>
    <row r="1225" spans="1:18" x14ac:dyDescent="0.25">
      <c r="A1225" t="s">
        <v>2479</v>
      </c>
      <c r="B1225" t="s">
        <v>2480</v>
      </c>
      <c r="C1225" s="1">
        <v>60</v>
      </c>
      <c r="I1225" s="1">
        <v>0</v>
      </c>
      <c r="J1225" s="1">
        <v>0</v>
      </c>
      <c r="K1225" s="1">
        <v>0</v>
      </c>
      <c r="L1225" s="1">
        <v>0</v>
      </c>
      <c r="M1225" s="6" t="s">
        <v>2784</v>
      </c>
      <c r="N1225" s="1">
        <v>24</v>
      </c>
      <c r="O1225" s="1">
        <v>24</v>
      </c>
      <c r="P1225" t="s">
        <v>2778</v>
      </c>
      <c r="Q122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25" s="1" t="s">
        <v>2779</v>
      </c>
    </row>
    <row r="1226" spans="1:18" x14ac:dyDescent="0.25">
      <c r="A1226" t="s">
        <v>2647</v>
      </c>
      <c r="B1226" t="s">
        <v>2648</v>
      </c>
      <c r="C1226" s="1">
        <v>1015</v>
      </c>
      <c r="I1226" s="1">
        <v>0</v>
      </c>
      <c r="J1226" s="1">
        <v>0</v>
      </c>
      <c r="K1226" s="1">
        <v>0</v>
      </c>
      <c r="L1226" s="1">
        <v>0</v>
      </c>
      <c r="M1226" s="6" t="s">
        <v>2784</v>
      </c>
      <c r="N1226" s="1">
        <v>476</v>
      </c>
      <c r="O1226" s="1">
        <v>476</v>
      </c>
      <c r="P1226" t="s">
        <v>2778</v>
      </c>
      <c r="Q122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26" s="1" t="s">
        <v>2779</v>
      </c>
    </row>
    <row r="1227" spans="1:18" x14ac:dyDescent="0.25">
      <c r="A1227" t="s">
        <v>1390</v>
      </c>
      <c r="B1227" t="s">
        <v>1391</v>
      </c>
      <c r="C1227" s="1">
        <v>15948</v>
      </c>
      <c r="F1227" s="1">
        <v>29</v>
      </c>
      <c r="G1227" s="1">
        <v>44</v>
      </c>
      <c r="H1227" s="1">
        <v>73</v>
      </c>
      <c r="I1227" s="1">
        <v>0</v>
      </c>
      <c r="J1227" s="1">
        <v>100</v>
      </c>
      <c r="K1227" s="1">
        <v>0</v>
      </c>
      <c r="L1227" s="1">
        <v>100</v>
      </c>
      <c r="M1227" s="6">
        <f>(Table2[[#This Row],[Grand Total of Lead Service Lines Replaced]]/(Table2[[#This Row],[Total to be identified or replaced]]+Table2[[#This Row],[Grand Total of Lead Service Lines Replaced]]))</f>
        <v>0.42196531791907516</v>
      </c>
      <c r="N1227" s="1">
        <v>5347</v>
      </c>
      <c r="O1227" s="1">
        <v>5447</v>
      </c>
      <c r="P1227" t="s">
        <v>2778</v>
      </c>
      <c r="Q122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27" s="7" t="s">
        <v>2786</v>
      </c>
    </row>
    <row r="1228" spans="1:18" x14ac:dyDescent="0.25">
      <c r="A1228" t="s">
        <v>2483</v>
      </c>
      <c r="B1228" t="s">
        <v>2484</v>
      </c>
      <c r="C1228" s="1">
        <v>263</v>
      </c>
      <c r="I1228" s="1">
        <v>0</v>
      </c>
      <c r="J1228" s="1">
        <v>0</v>
      </c>
      <c r="K1228" s="1">
        <v>0</v>
      </c>
      <c r="L1228" s="1">
        <v>0</v>
      </c>
      <c r="M1228" s="6" t="s">
        <v>2784</v>
      </c>
      <c r="N1228" s="1">
        <v>154</v>
      </c>
      <c r="O1228" s="1">
        <v>154</v>
      </c>
      <c r="P1228" t="s">
        <v>2778</v>
      </c>
      <c r="Q122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28" s="1" t="s">
        <v>2779</v>
      </c>
    </row>
    <row r="1229" spans="1:18" x14ac:dyDescent="0.25">
      <c r="A1229" t="s">
        <v>2585</v>
      </c>
      <c r="B1229" t="s">
        <v>2586</v>
      </c>
      <c r="C1229" s="1">
        <v>32</v>
      </c>
      <c r="I1229" s="1">
        <v>0</v>
      </c>
      <c r="J1229" s="1">
        <v>0</v>
      </c>
      <c r="K1229" s="1">
        <v>0</v>
      </c>
      <c r="L1229" s="1">
        <v>0</v>
      </c>
      <c r="M1229" s="6" t="s">
        <v>2784</v>
      </c>
      <c r="N1229" s="1">
        <v>1</v>
      </c>
      <c r="O1229" s="1">
        <v>1</v>
      </c>
      <c r="P1229" t="s">
        <v>2778</v>
      </c>
      <c r="Q122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29" s="1" t="s">
        <v>2779</v>
      </c>
    </row>
    <row r="1230" spans="1:18" x14ac:dyDescent="0.25">
      <c r="A1230" t="s">
        <v>2485</v>
      </c>
      <c r="B1230" t="s">
        <v>2486</v>
      </c>
      <c r="C1230" s="1">
        <v>65</v>
      </c>
      <c r="I1230" s="1">
        <v>0</v>
      </c>
      <c r="J1230" s="1">
        <v>0</v>
      </c>
      <c r="K1230" s="1">
        <v>0</v>
      </c>
      <c r="L1230" s="1">
        <v>0</v>
      </c>
      <c r="M1230" s="6" t="s">
        <v>2784</v>
      </c>
      <c r="N1230" s="1">
        <v>26</v>
      </c>
      <c r="O1230" s="1">
        <v>26</v>
      </c>
      <c r="P1230" t="s">
        <v>2778</v>
      </c>
      <c r="Q12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30" s="1" t="s">
        <v>2779</v>
      </c>
    </row>
    <row r="1231" spans="1:18" x14ac:dyDescent="0.25">
      <c r="A1231" t="s">
        <v>2651</v>
      </c>
      <c r="B1231" t="s">
        <v>2652</v>
      </c>
      <c r="C1231" s="1">
        <v>268</v>
      </c>
      <c r="I1231" s="1">
        <v>0</v>
      </c>
      <c r="J1231" s="1">
        <v>0</v>
      </c>
      <c r="K1231" s="1">
        <v>0</v>
      </c>
      <c r="L1231" s="1">
        <v>0</v>
      </c>
      <c r="M1231" s="6" t="s">
        <v>2784</v>
      </c>
      <c r="N1231" s="1">
        <v>109</v>
      </c>
      <c r="O1231" s="1">
        <v>109</v>
      </c>
      <c r="P1231" t="s">
        <v>2778</v>
      </c>
      <c r="Q123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31" s="1" t="s">
        <v>2779</v>
      </c>
    </row>
    <row r="1232" spans="1:18" x14ac:dyDescent="0.25">
      <c r="A1232" t="s">
        <v>2655</v>
      </c>
      <c r="B1232" t="s">
        <v>2656</v>
      </c>
      <c r="C1232" s="1">
        <v>873</v>
      </c>
      <c r="I1232" s="1">
        <v>0</v>
      </c>
      <c r="J1232" s="1">
        <v>0</v>
      </c>
      <c r="K1232" s="1">
        <v>0</v>
      </c>
      <c r="L1232" s="1">
        <v>0</v>
      </c>
      <c r="M1232" s="6" t="s">
        <v>2784</v>
      </c>
      <c r="N1232" s="1">
        <v>328</v>
      </c>
      <c r="O1232" s="1">
        <v>328</v>
      </c>
      <c r="P1232" t="s">
        <v>2778</v>
      </c>
      <c r="Q12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32" s="1" t="s">
        <v>2779</v>
      </c>
    </row>
    <row r="1233" spans="1:18" x14ac:dyDescent="0.25">
      <c r="A1233" t="s">
        <v>2487</v>
      </c>
      <c r="B1233" t="s">
        <v>2488</v>
      </c>
      <c r="C1233" s="1">
        <v>90</v>
      </c>
      <c r="I1233" s="1">
        <v>0</v>
      </c>
      <c r="J1233" s="1">
        <v>0</v>
      </c>
      <c r="K1233" s="1">
        <v>0</v>
      </c>
      <c r="L1233" s="1">
        <v>0</v>
      </c>
      <c r="M1233" s="6" t="s">
        <v>2784</v>
      </c>
      <c r="N1233" s="1">
        <v>8</v>
      </c>
      <c r="O1233" s="1">
        <v>8</v>
      </c>
      <c r="P1233" t="s">
        <v>2778</v>
      </c>
      <c r="Q123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33" s="1" t="s">
        <v>2779</v>
      </c>
    </row>
    <row r="1234" spans="1:18" x14ac:dyDescent="0.25">
      <c r="A1234" t="s">
        <v>1590</v>
      </c>
      <c r="B1234" t="s">
        <v>1591</v>
      </c>
      <c r="C1234" s="1">
        <v>6366</v>
      </c>
      <c r="D1234" s="1">
        <v>6</v>
      </c>
      <c r="E1234" s="1">
        <v>3</v>
      </c>
      <c r="F1234" s="1">
        <v>24</v>
      </c>
      <c r="G1234" s="1">
        <v>31</v>
      </c>
      <c r="H1234" s="1">
        <v>64</v>
      </c>
      <c r="I1234" s="1">
        <v>1</v>
      </c>
      <c r="J1234" s="1">
        <v>83</v>
      </c>
      <c r="K1234" s="1">
        <v>0</v>
      </c>
      <c r="L1234" s="1">
        <v>84</v>
      </c>
      <c r="M1234" s="6">
        <f>(Table2[[#This Row],[Grand Total of Lead Service Lines Replaced]]/(Table2[[#This Row],[Total to be identified or replaced]]+Table2[[#This Row],[Grand Total of Lead Service Lines Replaced]]))</f>
        <v>0.43243243243243246</v>
      </c>
      <c r="N1234" s="1">
        <v>2402</v>
      </c>
      <c r="O1234" s="1">
        <v>2486</v>
      </c>
      <c r="P1234" t="s">
        <v>2778</v>
      </c>
      <c r="Q123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34" s="7" t="s">
        <v>2786</v>
      </c>
    </row>
    <row r="1235" spans="1:18" x14ac:dyDescent="0.25">
      <c r="A1235" t="s">
        <v>1194</v>
      </c>
      <c r="B1235" t="s">
        <v>1195</v>
      </c>
      <c r="C1235" s="1">
        <v>907</v>
      </c>
      <c r="G1235" s="1">
        <v>107</v>
      </c>
      <c r="H1235" s="1">
        <v>107</v>
      </c>
      <c r="I1235" s="1">
        <v>6</v>
      </c>
      <c r="K1235" s="1">
        <v>134</v>
      </c>
      <c r="L1235" s="1">
        <v>140</v>
      </c>
      <c r="M1235" s="6">
        <f>(Table2[[#This Row],[Grand Total of Lead Service Lines Replaced]]/(Table2[[#This Row],[Total to be identified or replaced]]+Table2[[#This Row],[Grand Total of Lead Service Lines Replaced]]))</f>
        <v>0.4331983805668016</v>
      </c>
      <c r="N1235" s="1">
        <v>218</v>
      </c>
      <c r="O1235" s="1">
        <v>358</v>
      </c>
      <c r="P1235" t="s">
        <v>2778</v>
      </c>
      <c r="Q123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35" s="7" t="s">
        <v>2786</v>
      </c>
    </row>
    <row r="1236" spans="1:18" x14ac:dyDescent="0.25">
      <c r="A1236" t="s">
        <v>2489</v>
      </c>
      <c r="B1236" t="s">
        <v>2490</v>
      </c>
      <c r="C1236" s="1">
        <v>2033</v>
      </c>
      <c r="I1236" s="1">
        <v>0</v>
      </c>
      <c r="J1236" s="1">
        <v>0</v>
      </c>
      <c r="K1236" s="1">
        <v>0</v>
      </c>
      <c r="L1236" s="1">
        <v>0</v>
      </c>
      <c r="M1236" s="6" t="s">
        <v>2784</v>
      </c>
      <c r="N1236" s="1">
        <v>766</v>
      </c>
      <c r="O1236" s="1">
        <v>766</v>
      </c>
      <c r="P1236" t="s">
        <v>2778</v>
      </c>
      <c r="Q123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36" s="1" t="s">
        <v>2779</v>
      </c>
    </row>
    <row r="1237" spans="1:18" x14ac:dyDescent="0.25">
      <c r="A1237" t="s">
        <v>603</v>
      </c>
      <c r="B1237" t="s">
        <v>604</v>
      </c>
      <c r="C1237" s="1">
        <v>33194</v>
      </c>
      <c r="D1237" s="1">
        <v>1</v>
      </c>
      <c r="F1237" s="1">
        <v>1</v>
      </c>
      <c r="G1237" s="1">
        <v>8</v>
      </c>
      <c r="H1237" s="1">
        <v>10</v>
      </c>
      <c r="I1237" s="1">
        <v>7</v>
      </c>
      <c r="J1237" s="1">
        <v>6</v>
      </c>
      <c r="L1237" s="1">
        <v>13</v>
      </c>
      <c r="M1237" s="6">
        <f>(Table2[[#This Row],[Grand Total of Lead Service Lines Replaced]]/(Table2[[#This Row],[Total to be identified or replaced]]+Table2[[#This Row],[Grand Total of Lead Service Lines Replaced]]))</f>
        <v>0.43478260869565216</v>
      </c>
      <c r="N1237" s="1">
        <v>9019</v>
      </c>
      <c r="O1237" s="1">
        <v>9032</v>
      </c>
      <c r="P1237" t="s">
        <v>2778</v>
      </c>
      <c r="Q123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37" s="7" t="s">
        <v>2786</v>
      </c>
    </row>
    <row r="1238" spans="1:18" x14ac:dyDescent="0.25">
      <c r="A1238" t="s">
        <v>2493</v>
      </c>
      <c r="B1238" t="s">
        <v>2494</v>
      </c>
      <c r="C1238" s="1">
        <v>722</v>
      </c>
      <c r="I1238" s="1">
        <v>0</v>
      </c>
      <c r="J1238" s="1">
        <v>0</v>
      </c>
      <c r="K1238" s="1">
        <v>0</v>
      </c>
      <c r="L1238" s="1">
        <v>0</v>
      </c>
      <c r="M1238" s="6" t="s">
        <v>2784</v>
      </c>
      <c r="N1238" s="1">
        <v>324</v>
      </c>
      <c r="O1238" s="1">
        <v>324</v>
      </c>
      <c r="P1238" t="s">
        <v>2778</v>
      </c>
      <c r="Q123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38" s="1" t="s">
        <v>2779</v>
      </c>
    </row>
    <row r="1239" spans="1:18" x14ac:dyDescent="0.25">
      <c r="A1239" t="s">
        <v>2501</v>
      </c>
      <c r="B1239" t="s">
        <v>2502</v>
      </c>
      <c r="C1239" s="1">
        <v>180</v>
      </c>
      <c r="I1239" s="1">
        <v>0</v>
      </c>
      <c r="J1239" s="1">
        <v>0</v>
      </c>
      <c r="K1239" s="1">
        <v>0</v>
      </c>
      <c r="L1239" s="1">
        <v>0</v>
      </c>
      <c r="M1239" s="6" t="s">
        <v>2784</v>
      </c>
      <c r="N1239" s="1">
        <v>4</v>
      </c>
      <c r="O1239" s="1">
        <v>4</v>
      </c>
      <c r="P1239" t="s">
        <v>2778</v>
      </c>
      <c r="Q12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39" s="1" t="s">
        <v>2779</v>
      </c>
    </row>
    <row r="1240" spans="1:18" x14ac:dyDescent="0.25">
      <c r="A1240" t="s">
        <v>2659</v>
      </c>
      <c r="B1240" t="s">
        <v>2660</v>
      </c>
      <c r="C1240" s="1">
        <v>50</v>
      </c>
      <c r="I1240" s="1">
        <v>0</v>
      </c>
      <c r="J1240" s="1">
        <v>0</v>
      </c>
      <c r="K1240" s="1">
        <v>0</v>
      </c>
      <c r="L1240" s="1">
        <v>0</v>
      </c>
      <c r="M1240" s="6" t="s">
        <v>2784</v>
      </c>
      <c r="N1240" s="1">
        <v>1</v>
      </c>
      <c r="O1240" s="1">
        <v>1</v>
      </c>
      <c r="P1240" t="s">
        <v>2778</v>
      </c>
      <c r="Q12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0" s="1" t="s">
        <v>2779</v>
      </c>
    </row>
    <row r="1241" spans="1:18" x14ac:dyDescent="0.25">
      <c r="A1241" t="s">
        <v>1989</v>
      </c>
      <c r="B1241" t="s">
        <v>1990</v>
      </c>
      <c r="C1241" s="1">
        <v>82</v>
      </c>
      <c r="I1241" s="1">
        <v>0</v>
      </c>
      <c r="J1241" s="1">
        <v>0</v>
      </c>
      <c r="K1241" s="1">
        <v>0</v>
      </c>
      <c r="L1241" s="1">
        <v>0</v>
      </c>
      <c r="M1241" s="6" t="s">
        <v>2784</v>
      </c>
      <c r="N1241" s="1">
        <v>15</v>
      </c>
      <c r="O1241" s="1">
        <v>15</v>
      </c>
      <c r="P1241" t="s">
        <v>2778</v>
      </c>
      <c r="Q12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1" s="1" t="s">
        <v>2779</v>
      </c>
    </row>
    <row r="1242" spans="1:18" x14ac:dyDescent="0.25">
      <c r="A1242" t="s">
        <v>2497</v>
      </c>
      <c r="B1242" t="s">
        <v>2498</v>
      </c>
      <c r="C1242" s="1">
        <v>55</v>
      </c>
      <c r="I1242" s="1">
        <v>0</v>
      </c>
      <c r="J1242" s="1">
        <v>0</v>
      </c>
      <c r="K1242" s="1">
        <v>0</v>
      </c>
      <c r="L1242" s="1">
        <v>0</v>
      </c>
      <c r="M1242" s="6" t="s">
        <v>2784</v>
      </c>
      <c r="N1242" s="1">
        <v>6</v>
      </c>
      <c r="O1242" s="1">
        <v>6</v>
      </c>
      <c r="P1242" t="s">
        <v>2778</v>
      </c>
      <c r="Q124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2" s="1" t="s">
        <v>2779</v>
      </c>
    </row>
    <row r="1243" spans="1:18" x14ac:dyDescent="0.25">
      <c r="A1243" t="s">
        <v>2661</v>
      </c>
      <c r="B1243" t="s">
        <v>2662</v>
      </c>
      <c r="C1243" s="1">
        <v>270</v>
      </c>
      <c r="L1243" s="1">
        <v>0</v>
      </c>
      <c r="M1243" s="6" t="s">
        <v>2784</v>
      </c>
      <c r="N1243" s="1">
        <v>117</v>
      </c>
      <c r="O1243" s="1">
        <v>117</v>
      </c>
      <c r="P1243" t="s">
        <v>2778</v>
      </c>
      <c r="Q12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3" s="1" t="s">
        <v>2779</v>
      </c>
    </row>
    <row r="1244" spans="1:18" x14ac:dyDescent="0.25">
      <c r="A1244" t="s">
        <v>2663</v>
      </c>
      <c r="B1244" t="s">
        <v>2664</v>
      </c>
      <c r="C1244" s="1">
        <v>65</v>
      </c>
      <c r="I1244" s="1">
        <v>0</v>
      </c>
      <c r="J1244" s="1">
        <v>0</v>
      </c>
      <c r="K1244" s="1">
        <v>0</v>
      </c>
      <c r="L1244" s="1">
        <v>0</v>
      </c>
      <c r="M1244" s="6" t="s">
        <v>2784</v>
      </c>
      <c r="N1244" s="1">
        <v>42</v>
      </c>
      <c r="O1244" s="1">
        <v>42</v>
      </c>
      <c r="P1244" t="s">
        <v>2778</v>
      </c>
      <c r="Q124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4" s="1" t="s">
        <v>2779</v>
      </c>
    </row>
    <row r="1245" spans="1:18" x14ac:dyDescent="0.25">
      <c r="A1245" t="s">
        <v>2665</v>
      </c>
      <c r="B1245" t="s">
        <v>2666</v>
      </c>
      <c r="C1245" s="1">
        <v>40</v>
      </c>
      <c r="I1245" s="1">
        <v>0</v>
      </c>
      <c r="J1245" s="1">
        <v>0</v>
      </c>
      <c r="K1245" s="1">
        <v>0</v>
      </c>
      <c r="L1245" s="1">
        <v>0</v>
      </c>
      <c r="M1245" s="6" t="s">
        <v>2784</v>
      </c>
      <c r="N1245" s="1">
        <v>2</v>
      </c>
      <c r="O1245" s="1">
        <v>2</v>
      </c>
      <c r="P1245" t="s">
        <v>2778</v>
      </c>
      <c r="Q124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5" s="1" t="s">
        <v>2779</v>
      </c>
    </row>
    <row r="1246" spans="1:18" x14ac:dyDescent="0.25">
      <c r="A1246" t="s">
        <v>2667</v>
      </c>
      <c r="B1246" t="s">
        <v>2668</v>
      </c>
      <c r="C1246" s="1">
        <v>25</v>
      </c>
      <c r="I1246" s="1">
        <v>0</v>
      </c>
      <c r="J1246" s="1">
        <v>0</v>
      </c>
      <c r="K1246" s="1">
        <v>0</v>
      </c>
      <c r="L1246" s="1">
        <v>0</v>
      </c>
      <c r="M1246" s="6" t="s">
        <v>2784</v>
      </c>
      <c r="N1246" s="1">
        <v>3</v>
      </c>
      <c r="O1246" s="1">
        <v>3</v>
      </c>
      <c r="P1246" t="s">
        <v>2778</v>
      </c>
      <c r="Q124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6" s="1" t="s">
        <v>2779</v>
      </c>
    </row>
    <row r="1247" spans="1:18" x14ac:dyDescent="0.25">
      <c r="A1247" t="s">
        <v>2505</v>
      </c>
      <c r="B1247" t="s">
        <v>2506</v>
      </c>
      <c r="C1247" s="1">
        <v>57</v>
      </c>
      <c r="I1247" s="1">
        <v>0</v>
      </c>
      <c r="J1247" s="1">
        <v>0</v>
      </c>
      <c r="K1247" s="1">
        <v>0</v>
      </c>
      <c r="L1247" s="1">
        <v>0</v>
      </c>
      <c r="M1247" s="6" t="s">
        <v>2784</v>
      </c>
      <c r="N1247" s="1">
        <v>1</v>
      </c>
      <c r="O1247" s="1">
        <v>1</v>
      </c>
      <c r="P1247" t="s">
        <v>2778</v>
      </c>
      <c r="Q124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7" s="1" t="s">
        <v>2779</v>
      </c>
    </row>
    <row r="1248" spans="1:18" x14ac:dyDescent="0.25">
      <c r="A1248" t="s">
        <v>2669</v>
      </c>
      <c r="B1248" t="s">
        <v>2670</v>
      </c>
      <c r="C1248" s="1">
        <v>102</v>
      </c>
      <c r="I1248" s="1">
        <v>0</v>
      </c>
      <c r="J1248" s="1">
        <v>0</v>
      </c>
      <c r="K1248" s="1">
        <v>0</v>
      </c>
      <c r="L1248" s="1">
        <v>0</v>
      </c>
      <c r="M1248" s="6" t="s">
        <v>2784</v>
      </c>
      <c r="N1248" s="1">
        <v>1</v>
      </c>
      <c r="O1248" s="1">
        <v>1</v>
      </c>
      <c r="P1248" t="s">
        <v>2778</v>
      </c>
      <c r="Q124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8" s="1" t="s">
        <v>2779</v>
      </c>
    </row>
    <row r="1249" spans="1:18" x14ac:dyDescent="0.25">
      <c r="A1249" t="s">
        <v>2511</v>
      </c>
      <c r="B1249" t="s">
        <v>2512</v>
      </c>
      <c r="C1249" s="1">
        <v>11931</v>
      </c>
      <c r="I1249" s="1">
        <v>0</v>
      </c>
      <c r="J1249" s="1">
        <v>0</v>
      </c>
      <c r="K1249" s="1">
        <v>0</v>
      </c>
      <c r="L1249" s="1">
        <v>0</v>
      </c>
      <c r="M1249" s="6" t="s">
        <v>2784</v>
      </c>
      <c r="N1249" s="1">
        <v>4595</v>
      </c>
      <c r="O1249" s="1">
        <v>4595</v>
      </c>
      <c r="P1249" t="s">
        <v>2778</v>
      </c>
      <c r="Q124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49" s="1" t="s">
        <v>2779</v>
      </c>
    </row>
    <row r="1250" spans="1:18" x14ac:dyDescent="0.25">
      <c r="A1250" t="s">
        <v>911</v>
      </c>
      <c r="B1250" t="s">
        <v>912</v>
      </c>
      <c r="C1250" s="1">
        <v>1243</v>
      </c>
      <c r="G1250" s="1">
        <v>4</v>
      </c>
      <c r="H1250" s="1">
        <v>4</v>
      </c>
      <c r="I1250" s="1">
        <v>0</v>
      </c>
      <c r="J1250" s="1">
        <v>5</v>
      </c>
      <c r="K1250" s="1">
        <v>0</v>
      </c>
      <c r="L1250" s="1">
        <v>5</v>
      </c>
      <c r="M1250" s="6">
        <f>(Table2[[#This Row],[Grand Total of Lead Service Lines Replaced]]/(Table2[[#This Row],[Total to be identified or replaced]]+Table2[[#This Row],[Grand Total of Lead Service Lines Replaced]]))</f>
        <v>0.44444444444444442</v>
      </c>
      <c r="N1250" s="1">
        <v>548</v>
      </c>
      <c r="O1250" s="1">
        <v>553</v>
      </c>
      <c r="P1250" t="s">
        <v>2778</v>
      </c>
      <c r="Q125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50" s="7" t="s">
        <v>2786</v>
      </c>
    </row>
    <row r="1251" spans="1:18" x14ac:dyDescent="0.25">
      <c r="A1251" t="s">
        <v>2515</v>
      </c>
      <c r="B1251" t="s">
        <v>2516</v>
      </c>
      <c r="C1251" s="1">
        <v>50</v>
      </c>
      <c r="I1251" s="1">
        <v>0</v>
      </c>
      <c r="J1251" s="1">
        <v>0</v>
      </c>
      <c r="K1251" s="1">
        <v>0</v>
      </c>
      <c r="L1251" s="1">
        <v>0</v>
      </c>
      <c r="M1251" s="6" t="s">
        <v>2784</v>
      </c>
      <c r="N1251" s="1">
        <v>22</v>
      </c>
      <c r="O1251" s="1">
        <v>22</v>
      </c>
      <c r="P1251" t="s">
        <v>2778</v>
      </c>
      <c r="Q125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51" s="1" t="s">
        <v>2779</v>
      </c>
    </row>
    <row r="1252" spans="1:18" x14ac:dyDescent="0.25">
      <c r="A1252" t="s">
        <v>2627</v>
      </c>
      <c r="B1252" t="s">
        <v>2628</v>
      </c>
      <c r="C1252" s="1">
        <v>538</v>
      </c>
      <c r="I1252" s="1">
        <v>0</v>
      </c>
      <c r="J1252" s="1">
        <v>0</v>
      </c>
      <c r="K1252" s="1">
        <v>0</v>
      </c>
      <c r="L1252" s="1">
        <v>0</v>
      </c>
      <c r="M1252" s="6" t="s">
        <v>2784</v>
      </c>
      <c r="N1252" s="1">
        <v>215</v>
      </c>
      <c r="O1252" s="1">
        <v>215</v>
      </c>
      <c r="P1252" t="s">
        <v>2778</v>
      </c>
      <c r="Q12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52" s="1" t="s">
        <v>2779</v>
      </c>
    </row>
    <row r="1253" spans="1:18" x14ac:dyDescent="0.25">
      <c r="A1253" t="s">
        <v>2673</v>
      </c>
      <c r="B1253" t="s">
        <v>2674</v>
      </c>
      <c r="C1253" s="1">
        <v>328</v>
      </c>
      <c r="I1253" s="1">
        <v>0</v>
      </c>
      <c r="J1253" s="1">
        <v>0</v>
      </c>
      <c r="K1253" s="1">
        <v>0</v>
      </c>
      <c r="L1253" s="1">
        <v>0</v>
      </c>
      <c r="M1253" s="6" t="s">
        <v>2784</v>
      </c>
      <c r="N1253" s="1">
        <v>3</v>
      </c>
      <c r="O1253" s="1">
        <v>3</v>
      </c>
      <c r="P1253" t="s">
        <v>2778</v>
      </c>
      <c r="Q12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53" s="1" t="s">
        <v>2779</v>
      </c>
    </row>
    <row r="1254" spans="1:18" x14ac:dyDescent="0.25">
      <c r="A1254" t="s">
        <v>1025</v>
      </c>
      <c r="B1254" t="s">
        <v>1026</v>
      </c>
      <c r="C1254" s="1">
        <v>1188</v>
      </c>
      <c r="I1254" s="1">
        <v>0</v>
      </c>
      <c r="J1254" s="1">
        <v>0</v>
      </c>
      <c r="K1254" s="1">
        <v>0</v>
      </c>
      <c r="L1254" s="1">
        <v>0</v>
      </c>
      <c r="M1254" s="6" t="s">
        <v>2784</v>
      </c>
      <c r="N1254" s="1">
        <v>402</v>
      </c>
      <c r="O1254" s="1">
        <v>402</v>
      </c>
      <c r="P1254" t="s">
        <v>2778</v>
      </c>
      <c r="Q125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54" s="1" t="s">
        <v>2779</v>
      </c>
    </row>
    <row r="1255" spans="1:18" x14ac:dyDescent="0.25">
      <c r="A1255" t="s">
        <v>2675</v>
      </c>
      <c r="B1255" t="s">
        <v>2676</v>
      </c>
      <c r="C1255" s="1">
        <v>112</v>
      </c>
      <c r="L1255" s="1">
        <v>0</v>
      </c>
      <c r="M1255" s="6" t="s">
        <v>2784</v>
      </c>
      <c r="N1255" s="1">
        <v>28</v>
      </c>
      <c r="O1255" s="1">
        <v>28</v>
      </c>
      <c r="P1255" t="s">
        <v>2778</v>
      </c>
      <c r="Q125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55" s="1" t="s">
        <v>2779</v>
      </c>
    </row>
    <row r="1256" spans="1:18" x14ac:dyDescent="0.25">
      <c r="A1256" t="s">
        <v>1696</v>
      </c>
      <c r="B1256" t="s">
        <v>1697</v>
      </c>
      <c r="C1256" s="1">
        <v>4652</v>
      </c>
      <c r="D1256" s="1">
        <v>26</v>
      </c>
      <c r="E1256" s="1">
        <v>20</v>
      </c>
      <c r="G1256" s="1">
        <v>6</v>
      </c>
      <c r="H1256" s="1">
        <v>52</v>
      </c>
      <c r="I1256" s="1">
        <v>38</v>
      </c>
      <c r="J1256" s="1">
        <v>23</v>
      </c>
      <c r="K1256" s="1">
        <v>4</v>
      </c>
      <c r="L1256" s="1">
        <v>65</v>
      </c>
      <c r="M1256" s="6">
        <f>(Table2[[#This Row],[Grand Total of Lead Service Lines Replaced]]/(Table2[[#This Row],[Total to be identified or replaced]]+Table2[[#This Row],[Grand Total of Lead Service Lines Replaced]]))</f>
        <v>0.44444444444444442</v>
      </c>
      <c r="N1256" s="1">
        <v>1837</v>
      </c>
      <c r="O1256" s="1">
        <v>1902</v>
      </c>
      <c r="P1256" t="s">
        <v>2778</v>
      </c>
      <c r="Q125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56" s="7" t="s">
        <v>2786</v>
      </c>
    </row>
    <row r="1257" spans="1:18" x14ac:dyDescent="0.25">
      <c r="A1257" t="s">
        <v>2341</v>
      </c>
      <c r="B1257" t="s">
        <v>2342</v>
      </c>
      <c r="C1257" s="1">
        <v>30</v>
      </c>
      <c r="I1257" s="1">
        <v>0</v>
      </c>
      <c r="J1257" s="1">
        <v>0</v>
      </c>
      <c r="K1257" s="1">
        <v>0</v>
      </c>
      <c r="L1257" s="1">
        <v>0</v>
      </c>
      <c r="M1257" s="6" t="s">
        <v>2784</v>
      </c>
      <c r="N1257" s="1">
        <v>1</v>
      </c>
      <c r="O1257" s="1">
        <v>1</v>
      </c>
      <c r="P1257">
        <v>2025</v>
      </c>
      <c r="Q125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57" s="1" t="s">
        <v>2779</v>
      </c>
    </row>
    <row r="1258" spans="1:18" x14ac:dyDescent="0.25">
      <c r="A1258" t="s">
        <v>947</v>
      </c>
      <c r="B1258" t="s">
        <v>948</v>
      </c>
      <c r="C1258" s="1">
        <v>2425</v>
      </c>
      <c r="D1258" s="1">
        <v>24</v>
      </c>
      <c r="E1258" s="1">
        <v>34</v>
      </c>
      <c r="F1258" s="1">
        <v>54</v>
      </c>
      <c r="G1258" s="1">
        <v>100</v>
      </c>
      <c r="H1258" s="1">
        <v>212</v>
      </c>
      <c r="I1258" s="1">
        <v>66</v>
      </c>
      <c r="J1258" s="1">
        <v>192</v>
      </c>
      <c r="K1258" s="1">
        <v>0</v>
      </c>
      <c r="L1258" s="1">
        <v>258</v>
      </c>
      <c r="M1258" s="6">
        <f>(Table2[[#This Row],[Grand Total of Lead Service Lines Replaced]]/(Table2[[#This Row],[Total to be identified or replaced]]+Table2[[#This Row],[Grand Total of Lead Service Lines Replaced]]))</f>
        <v>0.45106382978723403</v>
      </c>
      <c r="N1258" s="1">
        <v>672</v>
      </c>
      <c r="O1258" s="1">
        <v>930</v>
      </c>
      <c r="P1258" t="s">
        <v>2778</v>
      </c>
      <c r="Q125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58" s="7" t="s">
        <v>2786</v>
      </c>
    </row>
    <row r="1259" spans="1:18" x14ac:dyDescent="0.25">
      <c r="A1259" t="s">
        <v>2679</v>
      </c>
      <c r="B1259" t="s">
        <v>2680</v>
      </c>
      <c r="C1259" s="1">
        <v>216</v>
      </c>
      <c r="L1259" s="1">
        <v>0</v>
      </c>
      <c r="M1259" s="6" t="s">
        <v>2784</v>
      </c>
      <c r="N1259" s="1">
        <v>75</v>
      </c>
      <c r="O1259" s="1">
        <v>75</v>
      </c>
      <c r="P1259" t="s">
        <v>2778</v>
      </c>
      <c r="Q125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59" s="1" t="s">
        <v>2779</v>
      </c>
    </row>
    <row r="1260" spans="1:18" x14ac:dyDescent="0.25">
      <c r="A1260" t="s">
        <v>2683</v>
      </c>
      <c r="B1260" t="s">
        <v>2684</v>
      </c>
      <c r="C1260" s="1">
        <v>75</v>
      </c>
      <c r="I1260" s="1">
        <v>0</v>
      </c>
      <c r="J1260" s="1">
        <v>0</v>
      </c>
      <c r="K1260" s="1">
        <v>0</v>
      </c>
      <c r="L1260" s="1">
        <v>0</v>
      </c>
      <c r="M1260" s="6" t="s">
        <v>2784</v>
      </c>
      <c r="N1260" s="1">
        <v>35</v>
      </c>
      <c r="O1260" s="1">
        <v>35</v>
      </c>
      <c r="P1260" t="s">
        <v>2778</v>
      </c>
      <c r="Q126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60" s="1" t="s">
        <v>2779</v>
      </c>
    </row>
    <row r="1261" spans="1:18" x14ac:dyDescent="0.25">
      <c r="A1261" t="s">
        <v>2685</v>
      </c>
      <c r="B1261" t="s">
        <v>2686</v>
      </c>
      <c r="C1261" s="1">
        <v>755</v>
      </c>
      <c r="I1261" s="1">
        <v>0</v>
      </c>
      <c r="J1261" s="1">
        <v>0</v>
      </c>
      <c r="K1261" s="1">
        <v>0</v>
      </c>
      <c r="L1261" s="1">
        <v>0</v>
      </c>
      <c r="M1261" s="6" t="s">
        <v>2784</v>
      </c>
      <c r="N1261" s="1">
        <v>267</v>
      </c>
      <c r="O1261" s="1">
        <v>267</v>
      </c>
      <c r="P1261" t="s">
        <v>2778</v>
      </c>
      <c r="Q126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61" s="1" t="s">
        <v>2779</v>
      </c>
    </row>
    <row r="1262" spans="1:18" x14ac:dyDescent="0.25">
      <c r="A1262" t="s">
        <v>1722</v>
      </c>
      <c r="B1262" t="s">
        <v>1723</v>
      </c>
      <c r="C1262" s="1">
        <v>9227</v>
      </c>
      <c r="I1262" s="1">
        <v>0</v>
      </c>
      <c r="J1262" s="1">
        <v>0</v>
      </c>
      <c r="K1262" s="1">
        <v>0</v>
      </c>
      <c r="L1262" s="1">
        <v>0</v>
      </c>
      <c r="M1262" s="6" t="s">
        <v>2784</v>
      </c>
      <c r="N1262" s="1">
        <v>2846</v>
      </c>
      <c r="O1262" s="1">
        <v>2846</v>
      </c>
      <c r="P1262" t="s">
        <v>2778</v>
      </c>
      <c r="Q126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62" s="1" t="s">
        <v>2779</v>
      </c>
    </row>
    <row r="1263" spans="1:18" x14ac:dyDescent="0.25">
      <c r="A1263" t="s">
        <v>2615</v>
      </c>
      <c r="B1263" t="s">
        <v>2616</v>
      </c>
      <c r="C1263" s="1">
        <v>115</v>
      </c>
      <c r="I1263" s="1">
        <v>0</v>
      </c>
      <c r="J1263" s="1">
        <v>0</v>
      </c>
      <c r="K1263" s="1">
        <v>0</v>
      </c>
      <c r="L1263" s="1">
        <v>0</v>
      </c>
      <c r="M1263" s="6" t="s">
        <v>2784</v>
      </c>
      <c r="N1263" s="1">
        <v>43</v>
      </c>
      <c r="O1263" s="1">
        <v>43</v>
      </c>
      <c r="P1263" t="s">
        <v>2778</v>
      </c>
      <c r="Q12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63" s="1" t="s">
        <v>2779</v>
      </c>
    </row>
    <row r="1264" spans="1:18" x14ac:dyDescent="0.25">
      <c r="A1264" t="s">
        <v>145</v>
      </c>
      <c r="B1264" t="s">
        <v>146</v>
      </c>
      <c r="C1264" s="1">
        <v>118017</v>
      </c>
      <c r="D1264" s="1">
        <v>112</v>
      </c>
      <c r="E1264" s="1">
        <v>137</v>
      </c>
      <c r="F1264" s="1">
        <v>103</v>
      </c>
      <c r="G1264" s="1">
        <v>63</v>
      </c>
      <c r="H1264" s="1">
        <v>415</v>
      </c>
      <c r="I1264" s="1">
        <v>0</v>
      </c>
      <c r="J1264" s="1">
        <v>471</v>
      </c>
      <c r="K1264" s="1">
        <v>2</v>
      </c>
      <c r="L1264" s="1">
        <v>473</v>
      </c>
      <c r="M1264" s="6">
        <f>(Table2[[#This Row],[Grand Total of Lead Service Lines Replaced]]/(Table2[[#This Row],[Total to be identified or replaced]]+Table2[[#This Row],[Grand Total of Lead Service Lines Replaced]]))</f>
        <v>0.46734234234234234</v>
      </c>
      <c r="N1264" s="1">
        <v>25402</v>
      </c>
      <c r="O1264" s="1">
        <v>25875</v>
      </c>
      <c r="P1264" t="s">
        <v>2778</v>
      </c>
      <c r="Q126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64" s="7" t="s">
        <v>2786</v>
      </c>
    </row>
    <row r="1265" spans="1:18" x14ac:dyDescent="0.25">
      <c r="A1265" t="s">
        <v>2649</v>
      </c>
      <c r="B1265" t="s">
        <v>2650</v>
      </c>
      <c r="C1265" s="1">
        <v>85</v>
      </c>
      <c r="I1265" s="1">
        <v>0</v>
      </c>
      <c r="J1265" s="1">
        <v>0</v>
      </c>
      <c r="K1265" s="1">
        <v>0</v>
      </c>
      <c r="L1265" s="1">
        <v>0</v>
      </c>
      <c r="M1265" s="6" t="s">
        <v>2784</v>
      </c>
      <c r="N1265" s="1">
        <v>40</v>
      </c>
      <c r="O1265" s="1">
        <v>40</v>
      </c>
      <c r="P1265" t="s">
        <v>2778</v>
      </c>
      <c r="Q126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65" s="1" t="s">
        <v>2779</v>
      </c>
    </row>
    <row r="1266" spans="1:18" x14ac:dyDescent="0.25">
      <c r="A1266" t="s">
        <v>2657</v>
      </c>
      <c r="B1266" t="s">
        <v>2658</v>
      </c>
      <c r="C1266" s="1">
        <v>54</v>
      </c>
      <c r="I1266" s="1">
        <v>0</v>
      </c>
      <c r="J1266" s="1">
        <v>0</v>
      </c>
      <c r="K1266" s="1">
        <v>0</v>
      </c>
      <c r="L1266" s="1">
        <v>0</v>
      </c>
      <c r="M1266" s="6" t="s">
        <v>2784</v>
      </c>
      <c r="O1266" s="1">
        <v>29</v>
      </c>
      <c r="P1266" t="s">
        <v>2778</v>
      </c>
      <c r="Q1266" s="8" t="s">
        <v>2787</v>
      </c>
      <c r="R1266" s="1" t="s">
        <v>2782</v>
      </c>
    </row>
    <row r="1267" spans="1:18" x14ac:dyDescent="0.25">
      <c r="A1267" t="s">
        <v>855</v>
      </c>
      <c r="B1267" t="s">
        <v>856</v>
      </c>
      <c r="C1267" s="1">
        <v>1964</v>
      </c>
      <c r="D1267" s="1">
        <v>2</v>
      </c>
      <c r="E1267" s="1">
        <v>2</v>
      </c>
      <c r="F1267" s="1">
        <v>235</v>
      </c>
      <c r="G1267" s="1">
        <v>76</v>
      </c>
      <c r="H1267" s="1">
        <v>315</v>
      </c>
      <c r="I1267" s="1">
        <v>57</v>
      </c>
      <c r="J1267" s="1">
        <v>289</v>
      </c>
      <c r="K1267" s="1">
        <v>0</v>
      </c>
      <c r="L1267" s="1">
        <v>346</v>
      </c>
      <c r="M1267" s="6">
        <f>(Table2[[#This Row],[Grand Total of Lead Service Lines Replaced]]/(Table2[[#This Row],[Total to be identified or replaced]]+Table2[[#This Row],[Grand Total of Lead Service Lines Replaced]]))</f>
        <v>0.47655068078668683</v>
      </c>
      <c r="N1267" s="1">
        <v>454</v>
      </c>
      <c r="O1267" s="1">
        <v>800</v>
      </c>
      <c r="P1267" t="s">
        <v>2778</v>
      </c>
      <c r="Q126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67" s="7" t="s">
        <v>2786</v>
      </c>
    </row>
    <row r="1268" spans="1:18" x14ac:dyDescent="0.25">
      <c r="A1268" t="s">
        <v>2687</v>
      </c>
      <c r="B1268" t="s">
        <v>2688</v>
      </c>
      <c r="C1268" s="1">
        <v>90</v>
      </c>
      <c r="J1268" s="1">
        <v>0</v>
      </c>
      <c r="K1268" s="1">
        <v>0</v>
      </c>
      <c r="L1268" s="1">
        <v>0</v>
      </c>
      <c r="M1268" s="6" t="s">
        <v>2784</v>
      </c>
      <c r="N1268" s="1">
        <v>11</v>
      </c>
      <c r="O1268" s="1">
        <v>11</v>
      </c>
      <c r="P1268" t="s">
        <v>2778</v>
      </c>
      <c r="Q126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68" s="1" t="s">
        <v>2779</v>
      </c>
    </row>
    <row r="1269" spans="1:18" x14ac:dyDescent="0.25">
      <c r="A1269" t="s">
        <v>223</v>
      </c>
      <c r="B1269" t="s">
        <v>224</v>
      </c>
      <c r="C1269" s="1">
        <v>885</v>
      </c>
      <c r="D1269" s="1">
        <v>7</v>
      </c>
      <c r="F1269" s="1">
        <v>5</v>
      </c>
      <c r="G1269" s="1">
        <v>10</v>
      </c>
      <c r="H1269" s="1">
        <v>22</v>
      </c>
      <c r="I1269" s="1">
        <v>10</v>
      </c>
      <c r="J1269" s="1">
        <v>12</v>
      </c>
      <c r="K1269" s="1">
        <v>0</v>
      </c>
      <c r="L1269" s="1">
        <v>22</v>
      </c>
      <c r="M1269" s="6">
        <f>(Table2[[#This Row],[Grand Total of Lead Service Lines Replaced]]/(Table2[[#This Row],[Total to be identified or replaced]]+Table2[[#This Row],[Grand Total of Lead Service Lines Replaced]]))</f>
        <v>0.5</v>
      </c>
      <c r="N1269" s="1">
        <v>363</v>
      </c>
      <c r="O1269" s="1">
        <v>385</v>
      </c>
      <c r="P1269" t="s">
        <v>2778</v>
      </c>
      <c r="Q126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69" s="7" t="s">
        <v>2786</v>
      </c>
    </row>
    <row r="1270" spans="1:18" x14ac:dyDescent="0.25">
      <c r="A1270" t="s">
        <v>95</v>
      </c>
      <c r="B1270" t="s">
        <v>96</v>
      </c>
      <c r="L1270" s="1">
        <v>0</v>
      </c>
      <c r="M1270" s="6" t="s">
        <v>2784</v>
      </c>
      <c r="O1270" s="1">
        <v>0</v>
      </c>
      <c r="P1270" t="s">
        <v>2778</v>
      </c>
      <c r="Q1270" t="s">
        <v>2788</v>
      </c>
      <c r="R1270" t="s">
        <v>2788</v>
      </c>
    </row>
    <row r="1271" spans="1:18" x14ac:dyDescent="0.25">
      <c r="A1271" t="s">
        <v>2521</v>
      </c>
      <c r="B1271" t="s">
        <v>2522</v>
      </c>
      <c r="C1271" s="1">
        <v>85854</v>
      </c>
      <c r="I1271" s="1">
        <v>0</v>
      </c>
      <c r="J1271" s="1">
        <v>0</v>
      </c>
      <c r="K1271" s="1">
        <v>0</v>
      </c>
      <c r="L1271" s="1">
        <v>0</v>
      </c>
      <c r="M1271" s="6" t="s">
        <v>2784</v>
      </c>
      <c r="N1271" s="1">
        <v>29334</v>
      </c>
      <c r="O1271" s="1">
        <v>29334</v>
      </c>
      <c r="P1271" t="s">
        <v>2778</v>
      </c>
      <c r="Q127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71" s="1" t="s">
        <v>2779</v>
      </c>
    </row>
    <row r="1272" spans="1:18" x14ac:dyDescent="0.25">
      <c r="A1272" t="s">
        <v>2691</v>
      </c>
      <c r="B1272" t="s">
        <v>2692</v>
      </c>
      <c r="C1272" s="1">
        <v>50</v>
      </c>
      <c r="L1272" s="1">
        <v>0</v>
      </c>
      <c r="M1272" s="6" t="s">
        <v>2784</v>
      </c>
      <c r="N1272" s="1">
        <v>25</v>
      </c>
      <c r="O1272" s="1">
        <v>25</v>
      </c>
      <c r="P1272" t="s">
        <v>2778</v>
      </c>
      <c r="Q127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72" s="1" t="s">
        <v>2779</v>
      </c>
    </row>
    <row r="1273" spans="1:18" x14ac:dyDescent="0.25">
      <c r="A1273" t="s">
        <v>2523</v>
      </c>
      <c r="B1273" t="s">
        <v>2524</v>
      </c>
      <c r="C1273" s="1">
        <v>598</v>
      </c>
      <c r="I1273" s="1">
        <v>0</v>
      </c>
      <c r="J1273" s="1">
        <v>0</v>
      </c>
      <c r="K1273" s="1">
        <v>0</v>
      </c>
      <c r="L1273" s="1">
        <v>0</v>
      </c>
      <c r="M1273" s="6" t="s">
        <v>2784</v>
      </c>
      <c r="N1273" s="1">
        <v>187</v>
      </c>
      <c r="O1273" s="1">
        <v>187</v>
      </c>
      <c r="P1273" t="s">
        <v>2778</v>
      </c>
      <c r="Q12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73" s="1" t="s">
        <v>2779</v>
      </c>
    </row>
    <row r="1274" spans="1:18" x14ac:dyDescent="0.25">
      <c r="A1274" t="s">
        <v>2641</v>
      </c>
      <c r="B1274" t="s">
        <v>2642</v>
      </c>
      <c r="C1274" s="1">
        <v>182</v>
      </c>
      <c r="I1274" s="1">
        <v>0</v>
      </c>
      <c r="J1274" s="1">
        <v>0</v>
      </c>
      <c r="K1274" s="1">
        <v>0</v>
      </c>
      <c r="L1274" s="1">
        <v>0</v>
      </c>
      <c r="M1274" s="6" t="s">
        <v>2784</v>
      </c>
      <c r="N1274" s="1">
        <v>73</v>
      </c>
      <c r="O1274" s="1">
        <v>73</v>
      </c>
      <c r="P1274" t="s">
        <v>2778</v>
      </c>
      <c r="Q127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74" s="1" t="s">
        <v>2779</v>
      </c>
    </row>
    <row r="1275" spans="1:18" x14ac:dyDescent="0.25">
      <c r="A1275" t="s">
        <v>2695</v>
      </c>
      <c r="B1275" t="s">
        <v>2642</v>
      </c>
      <c r="C1275" s="1">
        <v>30</v>
      </c>
      <c r="I1275" s="1">
        <v>0</v>
      </c>
      <c r="J1275" s="1">
        <v>0</v>
      </c>
      <c r="K1275" s="1">
        <v>0</v>
      </c>
      <c r="L1275" s="1">
        <v>0</v>
      </c>
      <c r="M1275" s="6" t="s">
        <v>2784</v>
      </c>
      <c r="N1275" s="1">
        <v>36</v>
      </c>
      <c r="O1275" s="1">
        <v>36</v>
      </c>
      <c r="P1275" t="s">
        <v>2778</v>
      </c>
      <c r="Q127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75" s="1" t="s">
        <v>2779</v>
      </c>
    </row>
    <row r="1276" spans="1:18" x14ac:dyDescent="0.25">
      <c r="A1276" t="s">
        <v>2696</v>
      </c>
      <c r="B1276" t="s">
        <v>2697</v>
      </c>
      <c r="C1276" s="1">
        <v>733</v>
      </c>
      <c r="L1276" s="1">
        <v>0</v>
      </c>
      <c r="M1276" s="6" t="s">
        <v>2784</v>
      </c>
      <c r="N1276" s="1">
        <v>403</v>
      </c>
      <c r="O1276" s="1">
        <v>403</v>
      </c>
      <c r="P1276" t="s">
        <v>2778</v>
      </c>
      <c r="Q127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76" s="1" t="s">
        <v>2779</v>
      </c>
    </row>
    <row r="1277" spans="1:18" x14ac:dyDescent="0.25">
      <c r="A1277" t="s">
        <v>1963</v>
      </c>
      <c r="B1277" t="s">
        <v>1964</v>
      </c>
      <c r="C1277" s="1">
        <v>950</v>
      </c>
      <c r="D1277" s="1">
        <v>9</v>
      </c>
      <c r="H1277" s="1">
        <v>9</v>
      </c>
      <c r="K1277" s="1">
        <v>9</v>
      </c>
      <c r="L1277" s="1">
        <v>9</v>
      </c>
      <c r="M1277" s="6">
        <f>(Table2[[#This Row],[Grand Total of Lead Service Lines Replaced]]/(Table2[[#This Row],[Total to be identified or replaced]]+Table2[[#This Row],[Grand Total of Lead Service Lines Replaced]]))</f>
        <v>0.5</v>
      </c>
      <c r="N1277" s="1">
        <v>409</v>
      </c>
      <c r="O1277" s="1">
        <v>418</v>
      </c>
      <c r="P1277" t="s">
        <v>2778</v>
      </c>
      <c r="Q127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77" s="7" t="s">
        <v>2786</v>
      </c>
    </row>
    <row r="1278" spans="1:18" x14ac:dyDescent="0.25">
      <c r="A1278" t="s">
        <v>905</v>
      </c>
      <c r="B1278" t="s">
        <v>906</v>
      </c>
      <c r="C1278" s="1">
        <v>1630</v>
      </c>
      <c r="E1278" s="1">
        <v>5</v>
      </c>
      <c r="F1278" s="1">
        <v>4</v>
      </c>
      <c r="G1278" s="1">
        <v>11</v>
      </c>
      <c r="H1278" s="1">
        <v>20</v>
      </c>
      <c r="I1278" s="1">
        <v>0</v>
      </c>
      <c r="J1278" s="1">
        <v>0</v>
      </c>
      <c r="K1278" s="1">
        <v>0</v>
      </c>
      <c r="L1278" s="1">
        <v>0</v>
      </c>
      <c r="M1278" s="6">
        <f>(Table2[[#This Row],[Grand Total of Lead Service Lines Replaced]]/(Table2[[#This Row],[Total to be identified or replaced]]+Table2[[#This Row],[Grand Total of Lead Service Lines Replaced]]))</f>
        <v>1</v>
      </c>
      <c r="N1278" s="1">
        <v>700</v>
      </c>
      <c r="O1278" s="1">
        <v>700</v>
      </c>
      <c r="P1278" t="s">
        <v>2778</v>
      </c>
      <c r="Q1278" t="s">
        <v>2785</v>
      </c>
      <c r="R1278" s="7" t="s">
        <v>2786</v>
      </c>
    </row>
    <row r="1279" spans="1:18" x14ac:dyDescent="0.25">
      <c r="A1279" t="s">
        <v>1242</v>
      </c>
      <c r="B1279" t="s">
        <v>1243</v>
      </c>
      <c r="C1279" s="1">
        <v>3540</v>
      </c>
      <c r="D1279" s="1">
        <v>16</v>
      </c>
      <c r="E1279" s="1">
        <v>32</v>
      </c>
      <c r="F1279" s="1">
        <v>50</v>
      </c>
      <c r="G1279" s="1">
        <v>47</v>
      </c>
      <c r="H1279" s="1">
        <v>145</v>
      </c>
      <c r="J1279" s="1">
        <v>57</v>
      </c>
      <c r="K1279" s="1">
        <v>69</v>
      </c>
      <c r="L1279" s="1">
        <v>126</v>
      </c>
      <c r="M1279" s="6">
        <f>(Table2[[#This Row],[Grand Total of Lead Service Lines Replaced]]/(Table2[[#This Row],[Total to be identified or replaced]]+Table2[[#This Row],[Grand Total of Lead Service Lines Replaced]]))</f>
        <v>0.5350553505535055</v>
      </c>
      <c r="N1279" s="1">
        <v>1189</v>
      </c>
      <c r="O1279" s="1">
        <v>1315</v>
      </c>
      <c r="P1279" t="s">
        <v>2778</v>
      </c>
      <c r="Q127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79" s="7" t="s">
        <v>2786</v>
      </c>
    </row>
    <row r="1280" spans="1:18" x14ac:dyDescent="0.25">
      <c r="A1280" t="s">
        <v>2527</v>
      </c>
      <c r="B1280" t="s">
        <v>2528</v>
      </c>
      <c r="C1280" s="1">
        <v>508</v>
      </c>
      <c r="I1280" s="1">
        <v>0</v>
      </c>
      <c r="J1280" s="1">
        <v>0</v>
      </c>
      <c r="K1280" s="1">
        <v>0</v>
      </c>
      <c r="L1280" s="1">
        <v>0</v>
      </c>
      <c r="M1280" s="6" t="s">
        <v>2784</v>
      </c>
      <c r="N1280" s="1">
        <v>267</v>
      </c>
      <c r="O1280" s="1">
        <v>267</v>
      </c>
      <c r="P1280" t="s">
        <v>2778</v>
      </c>
      <c r="Q128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80" s="1" t="s">
        <v>2779</v>
      </c>
    </row>
    <row r="1281" spans="1:18" x14ac:dyDescent="0.25">
      <c r="A1281" t="s">
        <v>2689</v>
      </c>
      <c r="B1281" t="s">
        <v>2690</v>
      </c>
      <c r="C1281" s="1">
        <v>148</v>
      </c>
      <c r="I1281" s="1">
        <v>0</v>
      </c>
      <c r="J1281" s="1">
        <v>0</v>
      </c>
      <c r="K1281" s="1">
        <v>0</v>
      </c>
      <c r="L1281" s="1">
        <v>0</v>
      </c>
      <c r="M1281" s="6" t="s">
        <v>2784</v>
      </c>
      <c r="N1281" s="1">
        <v>69</v>
      </c>
      <c r="O1281" s="1">
        <v>69</v>
      </c>
      <c r="P1281" t="s">
        <v>2778</v>
      </c>
      <c r="Q12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81" s="1" t="s">
        <v>2779</v>
      </c>
    </row>
    <row r="1282" spans="1:18" x14ac:dyDescent="0.25">
      <c r="A1282" t="s">
        <v>1332</v>
      </c>
      <c r="B1282" t="s">
        <v>1333</v>
      </c>
      <c r="C1282" s="1">
        <v>4516</v>
      </c>
      <c r="D1282" s="1">
        <v>10</v>
      </c>
      <c r="E1282" s="1">
        <v>14</v>
      </c>
      <c r="F1282" s="1">
        <v>16</v>
      </c>
      <c r="G1282" s="1">
        <v>5</v>
      </c>
      <c r="H1282" s="1">
        <v>45</v>
      </c>
      <c r="I1282" s="1">
        <v>0</v>
      </c>
      <c r="J1282" s="1">
        <v>39</v>
      </c>
      <c r="K1282" s="1">
        <v>0</v>
      </c>
      <c r="L1282" s="1">
        <v>39</v>
      </c>
      <c r="M1282" s="6">
        <f>(Table2[[#This Row],[Grand Total of Lead Service Lines Replaced]]/(Table2[[#This Row],[Total to be identified or replaced]]+Table2[[#This Row],[Grand Total of Lead Service Lines Replaced]]))</f>
        <v>0.5357142857142857</v>
      </c>
      <c r="N1282" s="1">
        <v>1504</v>
      </c>
      <c r="O1282" s="1">
        <v>1543</v>
      </c>
      <c r="P1282" t="s">
        <v>2778</v>
      </c>
      <c r="Q128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82" s="7" t="s">
        <v>2786</v>
      </c>
    </row>
    <row r="1283" spans="1:18" x14ac:dyDescent="0.25">
      <c r="A1283" t="s">
        <v>1829</v>
      </c>
      <c r="B1283" t="s">
        <v>1830</v>
      </c>
      <c r="C1283" s="1">
        <v>4075</v>
      </c>
      <c r="D1283" s="1">
        <v>16</v>
      </c>
      <c r="E1283" s="1">
        <v>5</v>
      </c>
      <c r="F1283" s="1">
        <v>3</v>
      </c>
      <c r="G1283" s="1">
        <v>6</v>
      </c>
      <c r="H1283" s="1">
        <v>30</v>
      </c>
      <c r="I1283" s="1">
        <v>1</v>
      </c>
      <c r="J1283" s="1">
        <v>0</v>
      </c>
      <c r="K1283" s="1">
        <v>25</v>
      </c>
      <c r="L1283" s="1">
        <v>26</v>
      </c>
      <c r="M1283" s="6">
        <f>(Table2[[#This Row],[Grand Total of Lead Service Lines Replaced]]/(Table2[[#This Row],[Total to be identified or replaced]]+Table2[[#This Row],[Grand Total of Lead Service Lines Replaced]]))</f>
        <v>0.5357142857142857</v>
      </c>
      <c r="N1283" s="1">
        <v>1765</v>
      </c>
      <c r="O1283" s="1">
        <v>1791</v>
      </c>
      <c r="P1283" t="s">
        <v>2778</v>
      </c>
      <c r="Q128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83" s="7" t="s">
        <v>2786</v>
      </c>
    </row>
    <row r="1284" spans="1:18" x14ac:dyDescent="0.25">
      <c r="A1284" t="s">
        <v>2541</v>
      </c>
      <c r="B1284" t="s">
        <v>2542</v>
      </c>
      <c r="C1284" s="1">
        <v>150</v>
      </c>
      <c r="I1284" s="1">
        <v>0</v>
      </c>
      <c r="J1284" s="1">
        <v>0</v>
      </c>
      <c r="K1284" s="1">
        <v>0</v>
      </c>
      <c r="L1284" s="1">
        <v>0</v>
      </c>
      <c r="M1284" s="6" t="s">
        <v>2784</v>
      </c>
      <c r="N1284" s="1">
        <v>52</v>
      </c>
      <c r="O1284" s="1">
        <v>52</v>
      </c>
      <c r="P1284" t="s">
        <v>2778</v>
      </c>
      <c r="Q128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84" s="1" t="s">
        <v>2779</v>
      </c>
    </row>
    <row r="1285" spans="1:18" x14ac:dyDescent="0.25">
      <c r="A1285" t="s">
        <v>2533</v>
      </c>
      <c r="B1285" t="s">
        <v>2534</v>
      </c>
      <c r="C1285" s="1">
        <v>45</v>
      </c>
      <c r="I1285" s="1">
        <v>0</v>
      </c>
      <c r="J1285" s="1">
        <v>0</v>
      </c>
      <c r="K1285" s="1">
        <v>0</v>
      </c>
      <c r="L1285" s="1">
        <v>0</v>
      </c>
      <c r="M1285" s="6" t="s">
        <v>2784</v>
      </c>
      <c r="N1285" s="1">
        <v>3</v>
      </c>
      <c r="O1285" s="1">
        <v>3</v>
      </c>
      <c r="P1285" t="s">
        <v>2778</v>
      </c>
      <c r="Q128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85" s="1" t="s">
        <v>2779</v>
      </c>
    </row>
    <row r="1286" spans="1:18" x14ac:dyDescent="0.25">
      <c r="A1286" t="s">
        <v>2535</v>
      </c>
      <c r="B1286" t="s">
        <v>2536</v>
      </c>
      <c r="C1286" s="1">
        <v>50</v>
      </c>
      <c r="I1286" s="1">
        <v>0</v>
      </c>
      <c r="J1286" s="1">
        <v>0</v>
      </c>
      <c r="K1286" s="1">
        <v>0</v>
      </c>
      <c r="L1286" s="1">
        <v>0</v>
      </c>
      <c r="M1286" s="6" t="s">
        <v>2784</v>
      </c>
      <c r="N1286" s="1">
        <v>50</v>
      </c>
      <c r="O1286" s="1">
        <v>50</v>
      </c>
      <c r="P1286" t="s">
        <v>2778</v>
      </c>
      <c r="Q128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86" s="1" t="s">
        <v>2779</v>
      </c>
    </row>
    <row r="1287" spans="1:18" x14ac:dyDescent="0.25">
      <c r="A1287" t="s">
        <v>449</v>
      </c>
      <c r="B1287" t="s">
        <v>450</v>
      </c>
      <c r="C1287" s="1">
        <v>1619</v>
      </c>
      <c r="D1287" s="1">
        <v>17</v>
      </c>
      <c r="E1287" s="1">
        <v>25</v>
      </c>
      <c r="F1287" s="1">
        <v>48</v>
      </c>
      <c r="G1287" s="1">
        <v>20</v>
      </c>
      <c r="H1287" s="1">
        <v>110</v>
      </c>
      <c r="I1287" s="1">
        <v>47</v>
      </c>
      <c r="J1287" s="1">
        <v>0</v>
      </c>
      <c r="K1287" s="1">
        <v>46</v>
      </c>
      <c r="L1287" s="1">
        <v>93</v>
      </c>
      <c r="M1287" s="6">
        <f>(Table2[[#This Row],[Grand Total of Lead Service Lines Replaced]]/(Table2[[#This Row],[Total to be identified or replaced]]+Table2[[#This Row],[Grand Total of Lead Service Lines Replaced]]))</f>
        <v>0.54187192118226601</v>
      </c>
      <c r="N1287" s="1">
        <v>958</v>
      </c>
      <c r="O1287" s="1">
        <v>1051</v>
      </c>
      <c r="P1287" t="s">
        <v>2778</v>
      </c>
      <c r="Q128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87" s="7" t="s">
        <v>2786</v>
      </c>
    </row>
    <row r="1288" spans="1:18" x14ac:dyDescent="0.25">
      <c r="A1288" t="s">
        <v>1212</v>
      </c>
      <c r="B1288" t="s">
        <v>1213</v>
      </c>
      <c r="C1288" s="1">
        <v>372</v>
      </c>
      <c r="F1288" s="1">
        <v>36</v>
      </c>
      <c r="G1288" s="1">
        <v>58</v>
      </c>
      <c r="H1288" s="1">
        <v>94</v>
      </c>
      <c r="I1288" s="1">
        <v>0</v>
      </c>
      <c r="J1288" s="1">
        <v>35</v>
      </c>
      <c r="K1288" s="1">
        <v>44</v>
      </c>
      <c r="L1288" s="1">
        <v>79</v>
      </c>
      <c r="M1288" s="6">
        <f>(Table2[[#This Row],[Grand Total of Lead Service Lines Replaced]]/(Table2[[#This Row],[Total to be identified or replaced]]+Table2[[#This Row],[Grand Total of Lead Service Lines Replaced]]))</f>
        <v>0.54335260115606931</v>
      </c>
      <c r="N1288" s="1">
        <v>154</v>
      </c>
      <c r="O1288" s="1">
        <v>233</v>
      </c>
      <c r="P1288" t="s">
        <v>2778</v>
      </c>
      <c r="Q128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88" s="7" t="s">
        <v>2786</v>
      </c>
    </row>
    <row r="1289" spans="1:18" x14ac:dyDescent="0.25">
      <c r="A1289" t="s">
        <v>2539</v>
      </c>
      <c r="B1289" t="s">
        <v>2540</v>
      </c>
      <c r="C1289" s="1">
        <v>780</v>
      </c>
      <c r="I1289" s="1">
        <v>0</v>
      </c>
      <c r="J1289" s="1">
        <v>0</v>
      </c>
      <c r="K1289" s="1">
        <v>0</v>
      </c>
      <c r="L1289" s="1">
        <v>0</v>
      </c>
      <c r="M1289" s="6" t="s">
        <v>2784</v>
      </c>
      <c r="N1289" s="1">
        <v>352</v>
      </c>
      <c r="O1289" s="1">
        <v>352</v>
      </c>
      <c r="P1289" t="s">
        <v>2778</v>
      </c>
      <c r="Q128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89" s="1" t="s">
        <v>2779</v>
      </c>
    </row>
    <row r="1290" spans="1:18" x14ac:dyDescent="0.25">
      <c r="A1290" t="s">
        <v>2395</v>
      </c>
      <c r="B1290" t="s">
        <v>2396</v>
      </c>
      <c r="C1290" s="1">
        <v>40</v>
      </c>
      <c r="I1290" s="1">
        <v>0</v>
      </c>
      <c r="J1290" s="1">
        <v>0</v>
      </c>
      <c r="K1290" s="1">
        <v>0</v>
      </c>
      <c r="L1290" s="1">
        <v>0</v>
      </c>
      <c r="M1290" s="6" t="s">
        <v>2784</v>
      </c>
      <c r="N1290" s="1">
        <v>4</v>
      </c>
      <c r="O1290" s="1">
        <v>4</v>
      </c>
      <c r="P1290" t="s">
        <v>2778</v>
      </c>
      <c r="Q129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90" s="1" t="s">
        <v>2779</v>
      </c>
    </row>
    <row r="1291" spans="1:18" x14ac:dyDescent="0.25">
      <c r="A1291" t="s">
        <v>1680</v>
      </c>
      <c r="B1291" t="s">
        <v>1681</v>
      </c>
      <c r="C1291" s="1">
        <v>3098</v>
      </c>
      <c r="E1291" s="1">
        <v>8</v>
      </c>
      <c r="F1291" s="1">
        <v>41</v>
      </c>
      <c r="G1291" s="1">
        <v>11</v>
      </c>
      <c r="H1291" s="1">
        <v>60</v>
      </c>
      <c r="I1291" s="1">
        <v>0</v>
      </c>
      <c r="J1291" s="1">
        <v>38</v>
      </c>
      <c r="L1291" s="1">
        <v>38</v>
      </c>
      <c r="M1291" s="6">
        <f>(Table2[[#This Row],[Grand Total of Lead Service Lines Replaced]]/(Table2[[#This Row],[Total to be identified or replaced]]+Table2[[#This Row],[Grand Total of Lead Service Lines Replaced]]))</f>
        <v>0.61224489795918369</v>
      </c>
      <c r="N1291" s="1">
        <v>1102</v>
      </c>
      <c r="O1291" s="1">
        <v>1140</v>
      </c>
      <c r="P1291" t="s">
        <v>2778</v>
      </c>
      <c r="Q129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91" s="7" t="s">
        <v>2786</v>
      </c>
    </row>
    <row r="1292" spans="1:18" x14ac:dyDescent="0.25">
      <c r="A1292" t="s">
        <v>2702</v>
      </c>
      <c r="B1292" t="s">
        <v>2703</v>
      </c>
      <c r="C1292" s="1">
        <v>55</v>
      </c>
      <c r="I1292" s="1">
        <v>0</v>
      </c>
      <c r="J1292" s="1">
        <v>0</v>
      </c>
      <c r="K1292" s="1">
        <v>0</v>
      </c>
      <c r="L1292" s="1">
        <v>0</v>
      </c>
      <c r="M1292" s="6" t="s">
        <v>2784</v>
      </c>
      <c r="N1292" s="1">
        <v>17</v>
      </c>
      <c r="O1292" s="1">
        <v>17</v>
      </c>
      <c r="P1292" t="s">
        <v>2778</v>
      </c>
      <c r="Q129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92" s="1" t="s">
        <v>2779</v>
      </c>
    </row>
    <row r="1293" spans="1:18" x14ac:dyDescent="0.25">
      <c r="A1293" t="s">
        <v>259</v>
      </c>
      <c r="B1293" t="s">
        <v>260</v>
      </c>
      <c r="C1293" s="1">
        <v>1060</v>
      </c>
      <c r="F1293" s="1">
        <v>116</v>
      </c>
      <c r="G1293" s="1">
        <v>10</v>
      </c>
      <c r="H1293" s="1">
        <v>126</v>
      </c>
      <c r="I1293" s="1">
        <v>23</v>
      </c>
      <c r="J1293" s="1">
        <v>5</v>
      </c>
      <c r="K1293" s="1">
        <v>51</v>
      </c>
      <c r="L1293" s="1">
        <v>79</v>
      </c>
      <c r="M1293" s="6">
        <f>(Table2[[#This Row],[Grand Total of Lead Service Lines Replaced]]/(Table2[[#This Row],[Total to be identified or replaced]]+Table2[[#This Row],[Grand Total of Lead Service Lines Replaced]]))</f>
        <v>0.61463414634146341</v>
      </c>
      <c r="N1293" s="1">
        <v>328</v>
      </c>
      <c r="O1293" s="1">
        <v>407</v>
      </c>
      <c r="P1293" t="s">
        <v>2778</v>
      </c>
      <c r="Q129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93" s="7" t="s">
        <v>2786</v>
      </c>
    </row>
    <row r="1294" spans="1:18" x14ac:dyDescent="0.25">
      <c r="A1294" t="s">
        <v>2545</v>
      </c>
      <c r="B1294" t="s">
        <v>2546</v>
      </c>
      <c r="C1294" s="1">
        <v>72</v>
      </c>
      <c r="I1294" s="1">
        <v>0</v>
      </c>
      <c r="J1294" s="1">
        <v>0</v>
      </c>
      <c r="K1294" s="1">
        <v>0</v>
      </c>
      <c r="L1294" s="1">
        <v>0</v>
      </c>
      <c r="M1294" s="6" t="s">
        <v>2784</v>
      </c>
      <c r="N1294" s="1">
        <v>14</v>
      </c>
      <c r="O1294" s="1">
        <v>14</v>
      </c>
      <c r="P1294" t="s">
        <v>2778</v>
      </c>
      <c r="Q129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94" s="1" t="s">
        <v>2779</v>
      </c>
    </row>
    <row r="1295" spans="1:18" x14ac:dyDescent="0.25">
      <c r="A1295" t="s">
        <v>2706</v>
      </c>
      <c r="B1295" t="s">
        <v>2707</v>
      </c>
      <c r="C1295" s="1">
        <v>193</v>
      </c>
      <c r="L1295" s="1">
        <v>0</v>
      </c>
      <c r="M1295" s="6" t="s">
        <v>2784</v>
      </c>
      <c r="N1295" s="1">
        <v>77</v>
      </c>
      <c r="O1295" s="1">
        <v>77</v>
      </c>
      <c r="P1295" t="s">
        <v>2778</v>
      </c>
      <c r="Q129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95" s="1" t="s">
        <v>2779</v>
      </c>
    </row>
    <row r="1296" spans="1:18" x14ac:dyDescent="0.25">
      <c r="A1296" t="s">
        <v>1806</v>
      </c>
      <c r="B1296" t="s">
        <v>1807</v>
      </c>
      <c r="C1296" s="1">
        <v>2150</v>
      </c>
      <c r="D1296" s="1">
        <v>12</v>
      </c>
      <c r="E1296" s="1">
        <v>13</v>
      </c>
      <c r="F1296" s="1">
        <v>20</v>
      </c>
      <c r="G1296" s="1">
        <v>57</v>
      </c>
      <c r="H1296" s="1">
        <v>102</v>
      </c>
      <c r="I1296" s="1">
        <v>38</v>
      </c>
      <c r="J1296" s="1">
        <v>19</v>
      </c>
      <c r="K1296" s="1">
        <v>1</v>
      </c>
      <c r="L1296" s="1">
        <v>58</v>
      </c>
      <c r="M1296" s="6">
        <f>(Table2[[#This Row],[Grand Total of Lead Service Lines Replaced]]/(Table2[[#This Row],[Total to be identified or replaced]]+Table2[[#This Row],[Grand Total of Lead Service Lines Replaced]]))</f>
        <v>0.63749999999999996</v>
      </c>
      <c r="N1296" s="1">
        <v>759</v>
      </c>
      <c r="O1296" s="1">
        <v>817</v>
      </c>
      <c r="P1296">
        <v>2021</v>
      </c>
      <c r="Q129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96" s="7" t="s">
        <v>2786</v>
      </c>
    </row>
    <row r="1297" spans="1:18" x14ac:dyDescent="0.25">
      <c r="A1297" t="s">
        <v>1092</v>
      </c>
      <c r="B1297" t="s">
        <v>1093</v>
      </c>
      <c r="C1297" s="1">
        <v>2447</v>
      </c>
      <c r="G1297" s="1">
        <v>9</v>
      </c>
      <c r="H1297" s="1">
        <v>9</v>
      </c>
      <c r="I1297" s="1">
        <v>5</v>
      </c>
      <c r="J1297" s="1">
        <v>0</v>
      </c>
      <c r="K1297" s="1">
        <v>0</v>
      </c>
      <c r="L1297" s="1">
        <v>5</v>
      </c>
      <c r="M1297" s="6">
        <f>(Table2[[#This Row],[Grand Total of Lead Service Lines Replaced]]/(Table2[[#This Row],[Total to be identified or replaced]]+Table2[[#This Row],[Grand Total of Lead Service Lines Replaced]]))</f>
        <v>0.6428571428571429</v>
      </c>
      <c r="N1297" s="1">
        <v>307</v>
      </c>
      <c r="O1297" s="1">
        <v>312</v>
      </c>
      <c r="P1297" t="s">
        <v>2778</v>
      </c>
      <c r="Q129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97" s="7" t="s">
        <v>2786</v>
      </c>
    </row>
    <row r="1298" spans="1:18" x14ac:dyDescent="0.25">
      <c r="A1298" t="s">
        <v>113</v>
      </c>
      <c r="B1298" t="s">
        <v>114</v>
      </c>
      <c r="C1298" s="1">
        <v>2674</v>
      </c>
      <c r="D1298" s="1">
        <v>7</v>
      </c>
      <c r="E1298" s="1">
        <v>20</v>
      </c>
      <c r="G1298" s="1">
        <v>3</v>
      </c>
      <c r="H1298" s="1">
        <v>30</v>
      </c>
      <c r="I1298" s="1">
        <v>0</v>
      </c>
      <c r="J1298" s="1">
        <v>0</v>
      </c>
      <c r="K1298" s="1">
        <v>16</v>
      </c>
      <c r="L1298" s="1">
        <v>16</v>
      </c>
      <c r="M1298" s="6">
        <f>(Table2[[#This Row],[Grand Total of Lead Service Lines Replaced]]/(Table2[[#This Row],[Total to be identified or replaced]]+Table2[[#This Row],[Grand Total of Lead Service Lines Replaced]]))</f>
        <v>0.65217391304347827</v>
      </c>
      <c r="N1298" s="1">
        <v>1055</v>
      </c>
      <c r="O1298" s="1">
        <v>1071</v>
      </c>
      <c r="P1298" t="s">
        <v>2778</v>
      </c>
      <c r="Q129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298" s="7" t="s">
        <v>2786</v>
      </c>
    </row>
    <row r="1299" spans="1:18" x14ac:dyDescent="0.25">
      <c r="A1299" t="s">
        <v>2551</v>
      </c>
      <c r="B1299" t="s">
        <v>2552</v>
      </c>
      <c r="C1299" s="1">
        <v>5452</v>
      </c>
      <c r="I1299" s="1">
        <v>0</v>
      </c>
      <c r="J1299" s="1">
        <v>0</v>
      </c>
      <c r="K1299" s="1">
        <v>0</v>
      </c>
      <c r="L1299" s="1">
        <v>0</v>
      </c>
      <c r="M1299" s="6" t="s">
        <v>2784</v>
      </c>
      <c r="N1299" s="1">
        <v>2307</v>
      </c>
      <c r="O1299" s="1">
        <v>2307</v>
      </c>
      <c r="P1299" t="s">
        <v>2778</v>
      </c>
      <c r="Q129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299" s="1" t="s">
        <v>2779</v>
      </c>
    </row>
    <row r="1300" spans="1:18" x14ac:dyDescent="0.25">
      <c r="A1300" t="s">
        <v>2555</v>
      </c>
      <c r="B1300" t="s">
        <v>2556</v>
      </c>
      <c r="C1300" s="1">
        <v>399</v>
      </c>
      <c r="I1300" s="1">
        <v>0</v>
      </c>
      <c r="J1300" s="1">
        <v>0</v>
      </c>
      <c r="K1300" s="1">
        <v>0</v>
      </c>
      <c r="L1300" s="1">
        <v>0</v>
      </c>
      <c r="M1300" s="6" t="s">
        <v>2784</v>
      </c>
      <c r="N1300" s="1">
        <v>223</v>
      </c>
      <c r="O1300" s="1">
        <v>223</v>
      </c>
      <c r="P1300" t="s">
        <v>2778</v>
      </c>
      <c r="Q130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00" s="1" t="s">
        <v>2779</v>
      </c>
    </row>
    <row r="1301" spans="1:18" x14ac:dyDescent="0.25">
      <c r="A1301" t="s">
        <v>2509</v>
      </c>
      <c r="B1301" t="s">
        <v>2510</v>
      </c>
      <c r="C1301" s="1">
        <v>375</v>
      </c>
      <c r="I1301" s="1">
        <v>0</v>
      </c>
      <c r="J1301" s="1">
        <v>0</v>
      </c>
      <c r="K1301" s="1">
        <v>0</v>
      </c>
      <c r="L1301" s="1">
        <v>0</v>
      </c>
      <c r="M1301" s="6" t="s">
        <v>2784</v>
      </c>
      <c r="N1301" s="1">
        <v>7</v>
      </c>
      <c r="O1301" s="1">
        <v>7</v>
      </c>
      <c r="P1301">
        <v>2025</v>
      </c>
      <c r="Q130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01" s="1" t="s">
        <v>2779</v>
      </c>
    </row>
    <row r="1302" spans="1:18" x14ac:dyDescent="0.25">
      <c r="A1302" t="s">
        <v>1240</v>
      </c>
      <c r="B1302" t="s">
        <v>1241</v>
      </c>
      <c r="C1302" s="1">
        <v>3478</v>
      </c>
      <c r="D1302" s="1">
        <v>103</v>
      </c>
      <c r="E1302" s="1">
        <v>65</v>
      </c>
      <c r="F1302" s="1">
        <v>74</v>
      </c>
      <c r="H1302" s="1">
        <v>242</v>
      </c>
      <c r="I1302" s="1">
        <v>0</v>
      </c>
      <c r="J1302" s="1">
        <v>0</v>
      </c>
      <c r="K1302" s="1">
        <v>125</v>
      </c>
      <c r="L1302" s="1">
        <v>125</v>
      </c>
      <c r="M1302" s="6">
        <f>(Table2[[#This Row],[Grand Total of Lead Service Lines Replaced]]/(Table2[[#This Row],[Total to be identified or replaced]]+Table2[[#This Row],[Grand Total of Lead Service Lines Replaced]]))</f>
        <v>0.65940054495912803</v>
      </c>
      <c r="N1302" s="1">
        <v>1415</v>
      </c>
      <c r="O1302" s="1">
        <v>1540</v>
      </c>
      <c r="P1302">
        <v>2020</v>
      </c>
      <c r="Q130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02" s="7" t="s">
        <v>2786</v>
      </c>
    </row>
    <row r="1303" spans="1:18" x14ac:dyDescent="0.25">
      <c r="A1303" t="s">
        <v>935</v>
      </c>
      <c r="B1303" t="s">
        <v>936</v>
      </c>
      <c r="C1303" s="1">
        <v>3362</v>
      </c>
      <c r="D1303" s="1">
        <v>3</v>
      </c>
      <c r="E1303" s="1">
        <v>432</v>
      </c>
      <c r="F1303" s="1">
        <v>68</v>
      </c>
      <c r="G1303" s="1">
        <v>19</v>
      </c>
      <c r="H1303" s="1">
        <v>522</v>
      </c>
      <c r="I1303" s="1">
        <v>0</v>
      </c>
      <c r="J1303" s="1">
        <v>56</v>
      </c>
      <c r="K1303" s="1">
        <v>208</v>
      </c>
      <c r="L1303" s="1">
        <v>264</v>
      </c>
      <c r="M1303" s="6">
        <f>(Table2[[#This Row],[Grand Total of Lead Service Lines Replaced]]/(Table2[[#This Row],[Total to be identified or replaced]]+Table2[[#This Row],[Grand Total of Lead Service Lines Replaced]]))</f>
        <v>0.66412213740458015</v>
      </c>
      <c r="N1303" s="1">
        <v>31</v>
      </c>
      <c r="O1303" s="1">
        <v>295</v>
      </c>
      <c r="P1303" t="s">
        <v>2778</v>
      </c>
      <c r="Q130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03" s="7" t="s">
        <v>2786</v>
      </c>
    </row>
    <row r="1304" spans="1:18" x14ac:dyDescent="0.25">
      <c r="A1304" t="s">
        <v>2693</v>
      </c>
      <c r="B1304" t="s">
        <v>2694</v>
      </c>
      <c r="C1304" s="1">
        <v>268</v>
      </c>
      <c r="I1304" s="1">
        <v>0</v>
      </c>
      <c r="J1304" s="1">
        <v>0</v>
      </c>
      <c r="K1304" s="1">
        <v>0</v>
      </c>
      <c r="L1304" s="1">
        <v>0</v>
      </c>
      <c r="M1304" s="6" t="s">
        <v>2784</v>
      </c>
      <c r="N1304" s="1">
        <v>107</v>
      </c>
      <c r="O1304" s="1">
        <v>107</v>
      </c>
      <c r="P1304" t="s">
        <v>2778</v>
      </c>
      <c r="Q130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04" s="1" t="s">
        <v>2779</v>
      </c>
    </row>
    <row r="1305" spans="1:18" x14ac:dyDescent="0.25">
      <c r="A1305" t="s">
        <v>2559</v>
      </c>
      <c r="B1305" t="s">
        <v>2560</v>
      </c>
      <c r="C1305" s="1">
        <v>15828</v>
      </c>
      <c r="I1305" s="1">
        <v>0</v>
      </c>
      <c r="J1305" s="1">
        <v>0</v>
      </c>
      <c r="K1305" s="1">
        <v>0</v>
      </c>
      <c r="L1305" s="1">
        <v>0</v>
      </c>
      <c r="M1305" s="6" t="s">
        <v>2784</v>
      </c>
      <c r="N1305" s="1">
        <v>7025</v>
      </c>
      <c r="O1305" s="1">
        <v>7025</v>
      </c>
      <c r="P1305" t="s">
        <v>2778</v>
      </c>
      <c r="Q130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05" s="1" t="s">
        <v>2779</v>
      </c>
    </row>
    <row r="1306" spans="1:18" x14ac:dyDescent="0.25">
      <c r="A1306" t="s">
        <v>2772</v>
      </c>
      <c r="B1306" t="s">
        <v>2773</v>
      </c>
      <c r="C1306" s="1">
        <v>8328</v>
      </c>
      <c r="D1306" s="1">
        <v>81</v>
      </c>
      <c r="E1306" s="1">
        <v>138</v>
      </c>
      <c r="F1306" s="1">
        <v>246</v>
      </c>
      <c r="G1306" s="1">
        <v>133</v>
      </c>
      <c r="H1306" s="1">
        <v>598</v>
      </c>
      <c r="I1306" s="1">
        <v>31</v>
      </c>
      <c r="J1306" s="1">
        <v>269</v>
      </c>
      <c r="K1306" s="1">
        <v>0</v>
      </c>
      <c r="L1306" s="1">
        <v>300</v>
      </c>
      <c r="M1306" s="6">
        <f>(Table2[[#This Row],[Grand Total of Lead Service Lines Replaced]]/(Table2[[#This Row],[Total to be identified or replaced]]+Table2[[#This Row],[Grand Total of Lead Service Lines Replaced]]))</f>
        <v>0.66592427616926508</v>
      </c>
      <c r="N1306" s="1">
        <v>2169</v>
      </c>
      <c r="O1306" s="1">
        <v>2469</v>
      </c>
      <c r="P1306" t="s">
        <v>2778</v>
      </c>
      <c r="Q130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06" s="7" t="s">
        <v>2786</v>
      </c>
    </row>
    <row r="1307" spans="1:18" x14ac:dyDescent="0.25">
      <c r="A1307" t="s">
        <v>2720</v>
      </c>
      <c r="B1307" t="s">
        <v>2721</v>
      </c>
      <c r="C1307" s="1">
        <v>180</v>
      </c>
      <c r="I1307" s="1">
        <v>0</v>
      </c>
      <c r="J1307" s="1">
        <v>0</v>
      </c>
      <c r="K1307" s="1">
        <v>0</v>
      </c>
      <c r="L1307" s="1">
        <v>0</v>
      </c>
      <c r="M1307" s="6" t="s">
        <v>2784</v>
      </c>
      <c r="N1307" s="1">
        <v>80</v>
      </c>
      <c r="O1307" s="1">
        <v>80</v>
      </c>
      <c r="P1307" t="s">
        <v>2778</v>
      </c>
      <c r="Q130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07" s="1" t="s">
        <v>2779</v>
      </c>
    </row>
    <row r="1308" spans="1:18" x14ac:dyDescent="0.25">
      <c r="A1308" t="s">
        <v>2085</v>
      </c>
      <c r="B1308" t="s">
        <v>2086</v>
      </c>
      <c r="C1308" s="1">
        <v>610</v>
      </c>
      <c r="E1308" s="1">
        <v>4</v>
      </c>
      <c r="H1308" s="1">
        <v>4</v>
      </c>
      <c r="I1308" s="1">
        <v>0</v>
      </c>
      <c r="J1308" s="1">
        <v>2</v>
      </c>
      <c r="K1308" s="1">
        <v>0</v>
      </c>
      <c r="L1308" s="1">
        <v>2</v>
      </c>
      <c r="M1308" s="6">
        <f>(Table2[[#This Row],[Grand Total of Lead Service Lines Replaced]]/(Table2[[#This Row],[Total to be identified or replaced]]+Table2[[#This Row],[Grand Total of Lead Service Lines Replaced]]))</f>
        <v>0.66666666666666663</v>
      </c>
      <c r="N1308" s="1">
        <v>257</v>
      </c>
      <c r="O1308" s="1">
        <v>259</v>
      </c>
      <c r="P1308" t="s">
        <v>2778</v>
      </c>
      <c r="Q130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08" s="7" t="s">
        <v>2786</v>
      </c>
    </row>
    <row r="1309" spans="1:18" x14ac:dyDescent="0.25">
      <c r="A1309" t="s">
        <v>2718</v>
      </c>
      <c r="B1309" t="s">
        <v>2719</v>
      </c>
      <c r="C1309" s="1">
        <v>73441</v>
      </c>
      <c r="G1309" s="1">
        <v>2</v>
      </c>
      <c r="H1309" s="1">
        <v>2</v>
      </c>
      <c r="I1309" s="1">
        <v>1</v>
      </c>
      <c r="J1309" s="1">
        <v>0</v>
      </c>
      <c r="K1309" s="1">
        <v>0</v>
      </c>
      <c r="L1309" s="1">
        <v>1</v>
      </c>
      <c r="M1309" s="6">
        <f>(Table2[[#This Row],[Grand Total of Lead Service Lines Replaced]]/(Table2[[#This Row],[Total to be identified or replaced]]+Table2[[#This Row],[Grand Total of Lead Service Lines Replaced]]))</f>
        <v>0.66666666666666663</v>
      </c>
      <c r="N1309" s="1">
        <v>25026</v>
      </c>
      <c r="O1309" s="1">
        <v>25027</v>
      </c>
      <c r="P1309" t="s">
        <v>2778</v>
      </c>
      <c r="Q1309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09" s="7" t="s">
        <v>2786</v>
      </c>
    </row>
    <row r="1310" spans="1:18" x14ac:dyDescent="0.25">
      <c r="A1310" t="s">
        <v>2309</v>
      </c>
      <c r="B1310" t="s">
        <v>2310</v>
      </c>
      <c r="C1310" s="1">
        <v>27524</v>
      </c>
      <c r="D1310" s="1">
        <v>3</v>
      </c>
      <c r="E1310" s="1">
        <v>3</v>
      </c>
      <c r="F1310" s="1">
        <v>1</v>
      </c>
      <c r="G1310" s="1">
        <v>16</v>
      </c>
      <c r="H1310" s="1">
        <v>23</v>
      </c>
      <c r="I1310" s="1">
        <v>5</v>
      </c>
      <c r="J1310" s="1">
        <v>6</v>
      </c>
      <c r="K1310" s="1">
        <v>0</v>
      </c>
      <c r="L1310" s="1">
        <v>11</v>
      </c>
      <c r="M1310" s="6">
        <f>(Table2[[#This Row],[Grand Total of Lead Service Lines Replaced]]/(Table2[[#This Row],[Total to be identified or replaced]]+Table2[[#This Row],[Grand Total of Lead Service Lines Replaced]]))</f>
        <v>0.67647058823529416</v>
      </c>
      <c r="N1310" s="1">
        <v>10105</v>
      </c>
      <c r="O1310" s="1">
        <v>10116</v>
      </c>
      <c r="P1310" t="s">
        <v>2778</v>
      </c>
      <c r="Q1310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10" s="7" t="s">
        <v>2786</v>
      </c>
    </row>
    <row r="1311" spans="1:18" x14ac:dyDescent="0.25">
      <c r="A1311" t="s">
        <v>2704</v>
      </c>
      <c r="B1311" t="s">
        <v>2705</v>
      </c>
      <c r="C1311" s="1">
        <v>86</v>
      </c>
      <c r="I1311" s="1">
        <v>0</v>
      </c>
      <c r="J1311" s="1">
        <v>0</v>
      </c>
      <c r="K1311" s="1">
        <v>0</v>
      </c>
      <c r="L1311" s="1">
        <v>0</v>
      </c>
      <c r="M1311" s="6" t="s">
        <v>2784</v>
      </c>
      <c r="N1311" s="1">
        <v>2</v>
      </c>
      <c r="O1311" s="1">
        <v>2</v>
      </c>
      <c r="P1311">
        <v>2025</v>
      </c>
      <c r="Q131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11" s="1" t="s">
        <v>2779</v>
      </c>
    </row>
    <row r="1312" spans="1:18" x14ac:dyDescent="0.25">
      <c r="A1312" t="s">
        <v>2561</v>
      </c>
      <c r="B1312" t="s">
        <v>2562</v>
      </c>
      <c r="C1312" s="1">
        <v>15</v>
      </c>
      <c r="I1312" s="1">
        <v>0</v>
      </c>
      <c r="J1312" s="1">
        <v>0</v>
      </c>
      <c r="K1312" s="1">
        <v>0</v>
      </c>
      <c r="L1312" s="1">
        <v>0</v>
      </c>
      <c r="M1312" s="6" t="s">
        <v>2784</v>
      </c>
      <c r="N1312" s="1">
        <v>13</v>
      </c>
      <c r="O1312" s="1">
        <v>13</v>
      </c>
      <c r="P1312" t="s">
        <v>2778</v>
      </c>
      <c r="Q131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12" s="1" t="s">
        <v>2779</v>
      </c>
    </row>
    <row r="1313" spans="1:18" x14ac:dyDescent="0.25">
      <c r="A1313" t="s">
        <v>601</v>
      </c>
      <c r="B1313" t="s">
        <v>602</v>
      </c>
      <c r="C1313" s="1">
        <v>32442</v>
      </c>
      <c r="D1313" s="1">
        <v>182</v>
      </c>
      <c r="E1313" s="1">
        <v>50</v>
      </c>
      <c r="F1313" s="1">
        <v>513</v>
      </c>
      <c r="G1313" s="1">
        <v>1084</v>
      </c>
      <c r="H1313" s="1">
        <v>1829</v>
      </c>
      <c r="I1313" s="1">
        <v>779</v>
      </c>
      <c r="J1313" s="1">
        <v>0</v>
      </c>
      <c r="K1313" s="1">
        <v>0</v>
      </c>
      <c r="L1313" s="1">
        <v>779</v>
      </c>
      <c r="M1313" s="6">
        <f>(Table2[[#This Row],[Grand Total of Lead Service Lines Replaced]]/(Table2[[#This Row],[Total to be identified or replaced]]+Table2[[#This Row],[Grand Total of Lead Service Lines Replaced]]))</f>
        <v>0.70130368098159512</v>
      </c>
      <c r="N1313" s="1">
        <v>12725</v>
      </c>
      <c r="O1313" s="1">
        <v>13504</v>
      </c>
      <c r="P1313">
        <v>2023</v>
      </c>
      <c r="Q131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13" s="7" t="s">
        <v>2786</v>
      </c>
    </row>
    <row r="1314" spans="1:18" x14ac:dyDescent="0.25">
      <c r="A1314" t="s">
        <v>2563</v>
      </c>
      <c r="B1314" t="s">
        <v>2564</v>
      </c>
      <c r="C1314" s="1">
        <v>125</v>
      </c>
      <c r="I1314" s="1">
        <v>0</v>
      </c>
      <c r="J1314" s="1">
        <v>0</v>
      </c>
      <c r="K1314" s="1">
        <v>0</v>
      </c>
      <c r="L1314" s="1">
        <v>0</v>
      </c>
      <c r="M1314" s="6" t="s">
        <v>2784</v>
      </c>
      <c r="N1314" s="1">
        <v>52</v>
      </c>
      <c r="O1314" s="1">
        <v>52</v>
      </c>
      <c r="P1314" t="s">
        <v>2778</v>
      </c>
      <c r="Q131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14" s="1" t="s">
        <v>2779</v>
      </c>
    </row>
    <row r="1315" spans="1:18" x14ac:dyDescent="0.25">
      <c r="A1315" t="s">
        <v>2728</v>
      </c>
      <c r="B1315" t="s">
        <v>2729</v>
      </c>
      <c r="C1315" s="1">
        <v>52</v>
      </c>
      <c r="L1315" s="1">
        <v>0</v>
      </c>
      <c r="M1315" s="6" t="s">
        <v>2784</v>
      </c>
      <c r="N1315" s="1">
        <v>21</v>
      </c>
      <c r="O1315" s="1">
        <v>21</v>
      </c>
      <c r="P1315" t="s">
        <v>2778</v>
      </c>
      <c r="Q131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15" s="1" t="s">
        <v>2779</v>
      </c>
    </row>
    <row r="1316" spans="1:18" x14ac:dyDescent="0.25">
      <c r="A1316" t="s">
        <v>1408</v>
      </c>
      <c r="B1316" t="s">
        <v>1409</v>
      </c>
      <c r="C1316" s="1">
        <v>8701</v>
      </c>
      <c r="D1316" s="1">
        <v>7</v>
      </c>
      <c r="E1316" s="1">
        <v>16</v>
      </c>
      <c r="G1316" s="1">
        <v>11</v>
      </c>
      <c r="H1316" s="1">
        <v>34</v>
      </c>
      <c r="I1316" s="1">
        <v>4</v>
      </c>
      <c r="J1316" s="1">
        <v>10</v>
      </c>
      <c r="K1316" s="1">
        <v>0</v>
      </c>
      <c r="L1316" s="1">
        <v>14</v>
      </c>
      <c r="M1316" s="6">
        <f>(Table2[[#This Row],[Grand Total of Lead Service Lines Replaced]]/(Table2[[#This Row],[Total to be identified or replaced]]+Table2[[#This Row],[Grand Total of Lead Service Lines Replaced]]))</f>
        <v>0.70833333333333337</v>
      </c>
      <c r="N1316" s="1">
        <v>2967</v>
      </c>
      <c r="O1316" s="1">
        <v>2981</v>
      </c>
      <c r="P1316" t="s">
        <v>2778</v>
      </c>
      <c r="Q131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16" s="7" t="s">
        <v>2786</v>
      </c>
    </row>
    <row r="1317" spans="1:18" x14ac:dyDescent="0.25">
      <c r="A1317" t="s">
        <v>2565</v>
      </c>
      <c r="B1317" t="s">
        <v>2566</v>
      </c>
      <c r="C1317" s="1">
        <v>61</v>
      </c>
      <c r="I1317" s="1">
        <v>0</v>
      </c>
      <c r="J1317" s="1">
        <v>0</v>
      </c>
      <c r="K1317" s="1">
        <v>0</v>
      </c>
      <c r="L1317" s="1">
        <v>0</v>
      </c>
      <c r="M1317" s="6" t="s">
        <v>2784</v>
      </c>
      <c r="N1317" s="1">
        <v>80</v>
      </c>
      <c r="O1317" s="1">
        <v>80</v>
      </c>
      <c r="P1317" t="s">
        <v>2778</v>
      </c>
      <c r="Q131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17" s="1" t="s">
        <v>2779</v>
      </c>
    </row>
    <row r="1318" spans="1:18" x14ac:dyDescent="0.25">
      <c r="A1318" t="s">
        <v>493</v>
      </c>
      <c r="B1318" t="s">
        <v>494</v>
      </c>
      <c r="C1318" s="1">
        <v>20472</v>
      </c>
      <c r="D1318" s="1">
        <v>216</v>
      </c>
      <c r="E1318" s="1">
        <v>204</v>
      </c>
      <c r="F1318" s="1">
        <v>83</v>
      </c>
      <c r="G1318" s="1">
        <v>27</v>
      </c>
      <c r="H1318" s="1">
        <v>530</v>
      </c>
      <c r="I1318" s="1">
        <v>153</v>
      </c>
      <c r="J1318" s="1">
        <v>2</v>
      </c>
      <c r="K1318" s="1">
        <v>33</v>
      </c>
      <c r="L1318" s="1">
        <v>188</v>
      </c>
      <c r="M1318" s="6">
        <f>(Table2[[#This Row],[Grand Total of Lead Service Lines Replaced]]/(Table2[[#This Row],[Total to be identified or replaced]]+Table2[[#This Row],[Grand Total of Lead Service Lines Replaced]]))</f>
        <v>0.73816155988857934</v>
      </c>
      <c r="N1318" s="1">
        <v>8968</v>
      </c>
      <c r="O1318" s="1">
        <v>9156</v>
      </c>
      <c r="P1318">
        <v>2019</v>
      </c>
      <c r="Q131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18" s="7" t="s">
        <v>2786</v>
      </c>
    </row>
    <row r="1319" spans="1:18" x14ac:dyDescent="0.25">
      <c r="A1319" t="s">
        <v>2619</v>
      </c>
      <c r="B1319" t="s">
        <v>2620</v>
      </c>
      <c r="C1319" s="1">
        <v>142</v>
      </c>
      <c r="L1319" s="1">
        <v>0</v>
      </c>
      <c r="M1319" s="6" t="s">
        <v>2784</v>
      </c>
      <c r="N1319" s="1">
        <v>58</v>
      </c>
      <c r="P1319" t="s">
        <v>2778</v>
      </c>
      <c r="Q1319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319" s="1" t="s">
        <v>2782</v>
      </c>
    </row>
    <row r="1320" spans="1:18" x14ac:dyDescent="0.25">
      <c r="A1320" t="s">
        <v>2724</v>
      </c>
      <c r="B1320" t="s">
        <v>2725</v>
      </c>
      <c r="C1320" s="1">
        <v>1850</v>
      </c>
      <c r="I1320" s="1">
        <v>0</v>
      </c>
      <c r="J1320" s="1">
        <v>0</v>
      </c>
      <c r="K1320" s="1">
        <v>0</v>
      </c>
      <c r="L1320" s="1">
        <v>0</v>
      </c>
      <c r="M1320" s="6" t="s">
        <v>2784</v>
      </c>
      <c r="N1320" s="1">
        <v>743</v>
      </c>
      <c r="O1320" s="1">
        <v>743</v>
      </c>
      <c r="P1320" t="s">
        <v>2778</v>
      </c>
      <c r="Q132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20" s="1" t="s">
        <v>2779</v>
      </c>
    </row>
    <row r="1321" spans="1:18" x14ac:dyDescent="0.25">
      <c r="A1321" t="s">
        <v>2305</v>
      </c>
      <c r="B1321" t="s">
        <v>2306</v>
      </c>
      <c r="C1321" s="1">
        <v>54</v>
      </c>
      <c r="I1321" s="1">
        <v>0</v>
      </c>
      <c r="J1321" s="1">
        <v>0</v>
      </c>
      <c r="K1321" s="1">
        <v>0</v>
      </c>
      <c r="L1321" s="1">
        <v>0</v>
      </c>
      <c r="M1321" s="6" t="s">
        <v>2784</v>
      </c>
      <c r="N1321" s="1">
        <v>6</v>
      </c>
      <c r="O1321" s="1">
        <v>6</v>
      </c>
      <c r="P1321" t="s">
        <v>2778</v>
      </c>
      <c r="Q132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21" s="1" t="s">
        <v>2779</v>
      </c>
    </row>
    <row r="1322" spans="1:18" x14ac:dyDescent="0.25">
      <c r="A1322" t="s">
        <v>2730</v>
      </c>
      <c r="B1322" t="s">
        <v>2731</v>
      </c>
      <c r="C1322" s="1">
        <v>75</v>
      </c>
      <c r="I1322" s="1">
        <v>0</v>
      </c>
      <c r="J1322" s="1">
        <v>0</v>
      </c>
      <c r="K1322" s="1">
        <v>0</v>
      </c>
      <c r="L1322" s="1">
        <v>0</v>
      </c>
      <c r="M1322" s="6" t="s">
        <v>2784</v>
      </c>
      <c r="N1322" s="1">
        <v>30</v>
      </c>
      <c r="O1322" s="1">
        <v>30</v>
      </c>
      <c r="P1322" t="s">
        <v>2778</v>
      </c>
      <c r="Q132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22" s="1" t="s">
        <v>2779</v>
      </c>
    </row>
    <row r="1323" spans="1:18" x14ac:dyDescent="0.25">
      <c r="A1323" t="s">
        <v>2567</v>
      </c>
      <c r="B1323" t="s">
        <v>2568</v>
      </c>
      <c r="C1323" s="1">
        <v>414</v>
      </c>
      <c r="I1323" s="1">
        <v>0</v>
      </c>
      <c r="J1323" s="1">
        <v>0</v>
      </c>
      <c r="K1323" s="1">
        <v>0</v>
      </c>
      <c r="L1323" s="1">
        <v>0</v>
      </c>
      <c r="M1323" s="6" t="s">
        <v>2784</v>
      </c>
      <c r="N1323" s="1">
        <v>172</v>
      </c>
      <c r="O1323" s="1">
        <v>172</v>
      </c>
      <c r="P1323" t="s">
        <v>2778</v>
      </c>
      <c r="Q132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23" s="1" t="s">
        <v>2779</v>
      </c>
    </row>
    <row r="1324" spans="1:18" x14ac:dyDescent="0.25">
      <c r="A1324" t="s">
        <v>2736</v>
      </c>
      <c r="B1324" t="s">
        <v>2737</v>
      </c>
      <c r="C1324" s="1">
        <v>330</v>
      </c>
      <c r="L1324" s="1">
        <v>0</v>
      </c>
      <c r="M1324" s="6" t="s">
        <v>2784</v>
      </c>
      <c r="N1324" s="1">
        <v>105</v>
      </c>
      <c r="O1324" s="1">
        <v>105</v>
      </c>
      <c r="P1324" t="s">
        <v>2778</v>
      </c>
      <c r="Q132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24" s="1" t="s">
        <v>2779</v>
      </c>
    </row>
    <row r="1325" spans="1:18" x14ac:dyDescent="0.25">
      <c r="A1325" t="s">
        <v>1983</v>
      </c>
      <c r="B1325" t="s">
        <v>1984</v>
      </c>
      <c r="C1325" s="1">
        <v>39</v>
      </c>
      <c r="L1325" s="1">
        <v>0</v>
      </c>
      <c r="M1325" s="6" t="s">
        <v>2784</v>
      </c>
      <c r="N1325" s="1">
        <v>3</v>
      </c>
      <c r="P1325">
        <v>2025</v>
      </c>
      <c r="Q1325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325" s="1" t="s">
        <v>2782</v>
      </c>
    </row>
    <row r="1326" spans="1:18" x14ac:dyDescent="0.25">
      <c r="A1326" t="s">
        <v>2732</v>
      </c>
      <c r="B1326" t="s">
        <v>2733</v>
      </c>
      <c r="C1326" s="1">
        <v>100</v>
      </c>
      <c r="L1326" s="1">
        <v>0</v>
      </c>
      <c r="M1326" s="6" t="s">
        <v>2784</v>
      </c>
      <c r="N1326" s="1">
        <v>1</v>
      </c>
      <c r="P1326" t="s">
        <v>2778</v>
      </c>
      <c r="Q1326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326" s="1" t="s">
        <v>2782</v>
      </c>
    </row>
    <row r="1327" spans="1:18" x14ac:dyDescent="0.25">
      <c r="A1327" t="s">
        <v>469</v>
      </c>
      <c r="B1327" t="s">
        <v>470</v>
      </c>
      <c r="C1327" s="1">
        <v>10403</v>
      </c>
      <c r="D1327" s="1">
        <v>49</v>
      </c>
      <c r="F1327" s="1">
        <v>135</v>
      </c>
      <c r="H1327" s="1">
        <v>184</v>
      </c>
      <c r="I1327" s="1">
        <v>0</v>
      </c>
      <c r="J1327" s="1">
        <v>0</v>
      </c>
      <c r="K1327" s="1">
        <v>64</v>
      </c>
      <c r="L1327" s="1">
        <v>64</v>
      </c>
      <c r="M1327" s="6">
        <f>(Table2[[#This Row],[Grand Total of Lead Service Lines Replaced]]/(Table2[[#This Row],[Total to be identified or replaced]]+Table2[[#This Row],[Grand Total of Lead Service Lines Replaced]]))</f>
        <v>0.74193548387096775</v>
      </c>
      <c r="N1327" s="1">
        <v>2535</v>
      </c>
      <c r="O1327" s="1">
        <v>2599</v>
      </c>
      <c r="P1327" t="s">
        <v>2778</v>
      </c>
      <c r="Q132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27" s="7" t="s">
        <v>2786</v>
      </c>
    </row>
    <row r="1328" spans="1:18" x14ac:dyDescent="0.25">
      <c r="A1328" t="s">
        <v>2740</v>
      </c>
      <c r="B1328" t="s">
        <v>2741</v>
      </c>
      <c r="C1328" s="1">
        <v>925</v>
      </c>
      <c r="L1328" s="1">
        <v>0</v>
      </c>
      <c r="M1328" s="6" t="s">
        <v>2784</v>
      </c>
      <c r="N1328" s="1">
        <v>415</v>
      </c>
      <c r="O1328" s="1">
        <v>415</v>
      </c>
      <c r="P1328" t="s">
        <v>2778</v>
      </c>
      <c r="Q132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28" s="1" t="s">
        <v>2779</v>
      </c>
    </row>
    <row r="1329" spans="1:18" x14ac:dyDescent="0.25">
      <c r="A1329" t="s">
        <v>2700</v>
      </c>
      <c r="B1329" t="s">
        <v>2701</v>
      </c>
      <c r="C1329" s="1">
        <v>40</v>
      </c>
      <c r="I1329" s="1">
        <v>0</v>
      </c>
      <c r="J1329" s="1">
        <v>0</v>
      </c>
      <c r="K1329" s="1">
        <v>0</v>
      </c>
      <c r="L1329" s="1">
        <v>0</v>
      </c>
      <c r="M1329" s="6" t="s">
        <v>2784</v>
      </c>
      <c r="N1329" s="1">
        <v>26</v>
      </c>
      <c r="O1329" s="1">
        <v>26</v>
      </c>
      <c r="P1329" t="s">
        <v>2778</v>
      </c>
      <c r="Q132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29" s="1" t="s">
        <v>2779</v>
      </c>
    </row>
    <row r="1330" spans="1:18" x14ac:dyDescent="0.25">
      <c r="A1330" t="s">
        <v>2722</v>
      </c>
      <c r="B1330" t="s">
        <v>2723</v>
      </c>
      <c r="C1330" s="1">
        <v>125</v>
      </c>
      <c r="I1330" s="1">
        <v>0</v>
      </c>
      <c r="J1330" s="1">
        <v>0</v>
      </c>
      <c r="K1330" s="1">
        <v>0</v>
      </c>
      <c r="L1330" s="1">
        <v>0</v>
      </c>
      <c r="M1330" s="6" t="s">
        <v>2784</v>
      </c>
      <c r="N1330" s="1">
        <v>50</v>
      </c>
      <c r="O1330" s="1">
        <v>50</v>
      </c>
      <c r="P1330" t="s">
        <v>2778</v>
      </c>
      <c r="Q133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30" s="1" t="s">
        <v>2779</v>
      </c>
    </row>
    <row r="1331" spans="1:18" x14ac:dyDescent="0.25">
      <c r="A1331" t="s">
        <v>2712</v>
      </c>
      <c r="B1331" t="s">
        <v>2713</v>
      </c>
      <c r="C1331" s="1">
        <v>125</v>
      </c>
      <c r="I1331" s="1">
        <v>0</v>
      </c>
      <c r="J1331" s="1">
        <v>0</v>
      </c>
      <c r="K1331" s="1">
        <v>0</v>
      </c>
      <c r="L1331" s="1">
        <v>0</v>
      </c>
      <c r="M1331" s="6" t="s">
        <v>2784</v>
      </c>
      <c r="N1331" s="1">
        <v>50</v>
      </c>
      <c r="O1331" s="1">
        <v>50</v>
      </c>
      <c r="P1331" t="s">
        <v>2778</v>
      </c>
      <c r="Q133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31" s="1" t="s">
        <v>2779</v>
      </c>
    </row>
    <row r="1332" spans="1:18" x14ac:dyDescent="0.25">
      <c r="A1332" t="s">
        <v>1318</v>
      </c>
      <c r="B1332" t="s">
        <v>1319</v>
      </c>
      <c r="C1332" s="1">
        <v>39</v>
      </c>
      <c r="I1332" s="1">
        <v>0</v>
      </c>
      <c r="J1332" s="1">
        <v>0</v>
      </c>
      <c r="K1332" s="1">
        <v>0</v>
      </c>
      <c r="L1332" s="1">
        <v>0</v>
      </c>
      <c r="M1332" s="6" t="s">
        <v>2784</v>
      </c>
      <c r="N1332" s="1">
        <v>1</v>
      </c>
      <c r="O1332" s="1">
        <v>1</v>
      </c>
      <c r="P1332" t="s">
        <v>2778</v>
      </c>
      <c r="Q133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32" s="1" t="s">
        <v>2779</v>
      </c>
    </row>
    <row r="1333" spans="1:18" x14ac:dyDescent="0.25">
      <c r="A1333" t="s">
        <v>2716</v>
      </c>
      <c r="B1333" t="s">
        <v>2717</v>
      </c>
      <c r="C1333" s="1">
        <v>87</v>
      </c>
      <c r="I1333" s="1">
        <v>0</v>
      </c>
      <c r="J1333" s="1">
        <v>0</v>
      </c>
      <c r="K1333" s="1">
        <v>0</v>
      </c>
      <c r="L1333" s="1">
        <v>0</v>
      </c>
      <c r="M1333" s="6" t="s">
        <v>2784</v>
      </c>
      <c r="N1333" s="1">
        <v>51</v>
      </c>
      <c r="O1333" s="1">
        <v>51</v>
      </c>
      <c r="P1333" t="s">
        <v>2778</v>
      </c>
      <c r="Q133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33" s="1" t="s">
        <v>2779</v>
      </c>
    </row>
    <row r="1334" spans="1:18" x14ac:dyDescent="0.25">
      <c r="A1334" t="s">
        <v>2742</v>
      </c>
      <c r="B1334" t="s">
        <v>2743</v>
      </c>
      <c r="C1334" s="1">
        <v>250</v>
      </c>
      <c r="L1334" s="1">
        <v>0</v>
      </c>
      <c r="M1334" s="6" t="s">
        <v>2784</v>
      </c>
      <c r="N1334" s="1">
        <v>251</v>
      </c>
      <c r="O1334" s="1">
        <v>251</v>
      </c>
      <c r="P1334" t="s">
        <v>2778</v>
      </c>
      <c r="Q133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34" s="1" t="s">
        <v>2779</v>
      </c>
    </row>
    <row r="1335" spans="1:18" x14ac:dyDescent="0.25">
      <c r="A1335" t="s">
        <v>2245</v>
      </c>
      <c r="B1335" t="s">
        <v>2246</v>
      </c>
      <c r="C1335" s="1">
        <v>1208</v>
      </c>
      <c r="D1335" s="1">
        <v>5</v>
      </c>
      <c r="E1335" s="1">
        <v>1</v>
      </c>
      <c r="H1335" s="1">
        <v>6</v>
      </c>
      <c r="I1335" s="1">
        <v>2</v>
      </c>
      <c r="J1335" s="1">
        <v>0</v>
      </c>
      <c r="K1335" s="1">
        <v>0</v>
      </c>
      <c r="L1335" s="1">
        <v>2</v>
      </c>
      <c r="M1335" s="6">
        <f>(Table2[[#This Row],[Grand Total of Lead Service Lines Replaced]]/(Table2[[#This Row],[Total to be identified or replaced]]+Table2[[#This Row],[Grand Total of Lead Service Lines Replaced]]))</f>
        <v>0.75</v>
      </c>
      <c r="N1335" s="1">
        <v>590</v>
      </c>
      <c r="O1335" s="1">
        <v>592</v>
      </c>
      <c r="P1335" t="s">
        <v>2778</v>
      </c>
      <c r="Q133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35" s="7" t="s">
        <v>2786</v>
      </c>
    </row>
    <row r="1336" spans="1:18" x14ac:dyDescent="0.25">
      <c r="A1336" t="s">
        <v>2677</v>
      </c>
      <c r="B1336" t="s">
        <v>2678</v>
      </c>
      <c r="C1336" s="1">
        <v>300</v>
      </c>
      <c r="I1336" s="1">
        <v>0</v>
      </c>
      <c r="J1336" s="1">
        <v>0</v>
      </c>
      <c r="K1336" s="1">
        <v>0</v>
      </c>
      <c r="L1336" s="1">
        <v>0</v>
      </c>
      <c r="M1336" s="6" t="s">
        <v>2784</v>
      </c>
      <c r="N1336" s="1">
        <v>177</v>
      </c>
      <c r="O1336" s="1">
        <v>177</v>
      </c>
      <c r="P1336" t="s">
        <v>2778</v>
      </c>
      <c r="Q133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36" s="1" t="s">
        <v>2779</v>
      </c>
    </row>
    <row r="1337" spans="1:18" x14ac:dyDescent="0.25">
      <c r="A1337" t="s">
        <v>2573</v>
      </c>
      <c r="B1337" t="s">
        <v>2574</v>
      </c>
      <c r="C1337" s="1">
        <v>20</v>
      </c>
      <c r="I1337" s="1">
        <v>0</v>
      </c>
      <c r="J1337" s="1">
        <v>0</v>
      </c>
      <c r="K1337" s="1">
        <v>0</v>
      </c>
      <c r="L1337" s="1">
        <v>0</v>
      </c>
      <c r="M1337" s="6" t="s">
        <v>2784</v>
      </c>
      <c r="N1337" s="1">
        <v>18</v>
      </c>
      <c r="O1337" s="1">
        <v>18</v>
      </c>
      <c r="P1337" t="s">
        <v>2778</v>
      </c>
      <c r="Q133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37" s="1" t="s">
        <v>2779</v>
      </c>
    </row>
    <row r="1338" spans="1:18" x14ac:dyDescent="0.25">
      <c r="A1338" t="s">
        <v>2571</v>
      </c>
      <c r="B1338" t="s">
        <v>2572</v>
      </c>
      <c r="C1338" s="1">
        <v>224</v>
      </c>
      <c r="I1338" s="1">
        <v>0</v>
      </c>
      <c r="J1338" s="1">
        <v>0</v>
      </c>
      <c r="K1338" s="1">
        <v>0</v>
      </c>
      <c r="L1338" s="1">
        <v>0</v>
      </c>
      <c r="M1338" s="6" t="s">
        <v>2784</v>
      </c>
      <c r="N1338" s="1">
        <v>70</v>
      </c>
      <c r="O1338" s="1">
        <v>70</v>
      </c>
      <c r="P1338" t="s">
        <v>2778</v>
      </c>
      <c r="Q133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38" s="1" t="s">
        <v>2779</v>
      </c>
    </row>
    <row r="1339" spans="1:18" x14ac:dyDescent="0.25">
      <c r="A1339" t="s">
        <v>2577</v>
      </c>
      <c r="B1339" t="s">
        <v>2578</v>
      </c>
      <c r="C1339" s="1">
        <v>26</v>
      </c>
      <c r="I1339" s="1">
        <v>0</v>
      </c>
      <c r="J1339" s="1">
        <v>0</v>
      </c>
      <c r="K1339" s="1">
        <v>0</v>
      </c>
      <c r="L1339" s="1">
        <v>0</v>
      </c>
      <c r="M1339" s="6" t="s">
        <v>2784</v>
      </c>
      <c r="N1339" s="1">
        <v>2</v>
      </c>
      <c r="O1339" s="1">
        <v>2</v>
      </c>
      <c r="P1339" t="s">
        <v>2778</v>
      </c>
      <c r="Q133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39" s="1" t="s">
        <v>2779</v>
      </c>
    </row>
    <row r="1340" spans="1:18" x14ac:dyDescent="0.25">
      <c r="A1340" t="s">
        <v>2557</v>
      </c>
      <c r="B1340" t="s">
        <v>2558</v>
      </c>
      <c r="C1340" s="1">
        <v>50</v>
      </c>
      <c r="I1340" s="1">
        <v>0</v>
      </c>
      <c r="J1340" s="1">
        <v>0</v>
      </c>
      <c r="K1340" s="1">
        <v>0</v>
      </c>
      <c r="L1340" s="1">
        <v>0</v>
      </c>
      <c r="M1340" s="6" t="s">
        <v>2784</v>
      </c>
      <c r="N1340" s="1">
        <v>1</v>
      </c>
      <c r="O1340" s="1">
        <v>1</v>
      </c>
      <c r="P1340">
        <v>2025</v>
      </c>
      <c r="Q134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40" s="1" t="s">
        <v>2779</v>
      </c>
    </row>
    <row r="1341" spans="1:18" x14ac:dyDescent="0.25">
      <c r="A1341" t="s">
        <v>2583</v>
      </c>
      <c r="B1341" t="s">
        <v>2584</v>
      </c>
      <c r="C1341" s="1">
        <v>45</v>
      </c>
      <c r="I1341" s="1">
        <v>0</v>
      </c>
      <c r="J1341" s="1">
        <v>0</v>
      </c>
      <c r="K1341" s="1">
        <v>0</v>
      </c>
      <c r="L1341" s="1">
        <v>0</v>
      </c>
      <c r="M1341" s="6" t="s">
        <v>2784</v>
      </c>
      <c r="N1341" s="1">
        <v>24</v>
      </c>
      <c r="O1341" s="1">
        <v>24</v>
      </c>
      <c r="P1341" t="s">
        <v>2778</v>
      </c>
      <c r="Q134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41" s="1" t="s">
        <v>2779</v>
      </c>
    </row>
    <row r="1342" spans="1:18" x14ac:dyDescent="0.25">
      <c r="A1342" t="s">
        <v>2333</v>
      </c>
      <c r="B1342" t="s">
        <v>2334</v>
      </c>
      <c r="C1342" s="1">
        <v>7130</v>
      </c>
      <c r="D1342" s="1">
        <v>18</v>
      </c>
      <c r="E1342" s="1">
        <v>10</v>
      </c>
      <c r="F1342" s="1">
        <v>6</v>
      </c>
      <c r="G1342" s="1">
        <v>7</v>
      </c>
      <c r="H1342" s="1">
        <v>41</v>
      </c>
      <c r="I1342" s="1">
        <v>0</v>
      </c>
      <c r="J1342" s="1">
        <v>9</v>
      </c>
      <c r="K1342" s="1">
        <v>4</v>
      </c>
      <c r="L1342" s="1">
        <v>13</v>
      </c>
      <c r="M1342" s="6">
        <f>(Table2[[#This Row],[Grand Total of Lead Service Lines Replaced]]/(Table2[[#This Row],[Total to be identified or replaced]]+Table2[[#This Row],[Grand Total of Lead Service Lines Replaced]]))</f>
        <v>0.7592592592592593</v>
      </c>
      <c r="N1342" s="1">
        <v>2468</v>
      </c>
      <c r="O1342" s="1">
        <v>2481</v>
      </c>
      <c r="P1342" t="s">
        <v>2778</v>
      </c>
      <c r="Q134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42" s="7" t="s">
        <v>2786</v>
      </c>
    </row>
    <row r="1343" spans="1:18" x14ac:dyDescent="0.25">
      <c r="A1343" t="s">
        <v>2645</v>
      </c>
      <c r="B1343" t="s">
        <v>2646</v>
      </c>
      <c r="C1343" s="1">
        <v>90</v>
      </c>
      <c r="I1343" s="1">
        <v>0</v>
      </c>
      <c r="J1343" s="1">
        <v>0</v>
      </c>
      <c r="K1343" s="1">
        <v>0</v>
      </c>
      <c r="L1343" s="1">
        <v>0</v>
      </c>
      <c r="M1343" s="6" t="s">
        <v>2784</v>
      </c>
      <c r="N1343" s="1">
        <v>35</v>
      </c>
      <c r="O1343" s="1">
        <v>35</v>
      </c>
      <c r="P1343" t="s">
        <v>2778</v>
      </c>
      <c r="Q134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43" s="1" t="s">
        <v>2779</v>
      </c>
    </row>
    <row r="1344" spans="1:18" x14ac:dyDescent="0.25">
      <c r="A1344" t="s">
        <v>2575</v>
      </c>
      <c r="B1344" t="s">
        <v>2576</v>
      </c>
      <c r="C1344" s="1">
        <v>303</v>
      </c>
      <c r="I1344" s="1">
        <v>0</v>
      </c>
      <c r="J1344" s="1">
        <v>0</v>
      </c>
      <c r="K1344" s="1">
        <v>0</v>
      </c>
      <c r="L1344" s="1">
        <v>0</v>
      </c>
      <c r="M1344" s="6" t="s">
        <v>2784</v>
      </c>
      <c r="N1344" s="1">
        <v>165</v>
      </c>
      <c r="O1344" s="1">
        <v>165</v>
      </c>
      <c r="P1344" t="s">
        <v>2778</v>
      </c>
      <c r="Q134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44" s="1" t="s">
        <v>2779</v>
      </c>
    </row>
    <row r="1345" spans="1:18" x14ac:dyDescent="0.25">
      <c r="A1345" t="s">
        <v>1839</v>
      </c>
      <c r="B1345" t="s">
        <v>1840</v>
      </c>
      <c r="C1345" s="1">
        <v>1612</v>
      </c>
      <c r="F1345" s="1">
        <v>3</v>
      </c>
      <c r="G1345" s="1">
        <v>174</v>
      </c>
      <c r="H1345" s="1">
        <v>177</v>
      </c>
      <c r="I1345" s="1">
        <v>0</v>
      </c>
      <c r="J1345" s="1">
        <v>45</v>
      </c>
      <c r="K1345" s="1">
        <v>9</v>
      </c>
      <c r="L1345" s="1">
        <v>54</v>
      </c>
      <c r="M1345" s="6">
        <f>(Table2[[#This Row],[Grand Total of Lead Service Lines Replaced]]/(Table2[[#This Row],[Total to be identified or replaced]]+Table2[[#This Row],[Grand Total of Lead Service Lines Replaced]]))</f>
        <v>0.76623376623376627</v>
      </c>
      <c r="N1345" s="1">
        <v>607</v>
      </c>
      <c r="O1345" s="1">
        <v>661</v>
      </c>
      <c r="P1345" t="s">
        <v>2778</v>
      </c>
      <c r="Q1345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45" s="7" t="s">
        <v>2786</v>
      </c>
    </row>
    <row r="1346" spans="1:18" x14ac:dyDescent="0.25">
      <c r="A1346" t="s">
        <v>2591</v>
      </c>
      <c r="B1346" t="s">
        <v>2592</v>
      </c>
      <c r="C1346" s="1">
        <v>281</v>
      </c>
      <c r="I1346" s="1">
        <v>0</v>
      </c>
      <c r="J1346" s="1">
        <v>0</v>
      </c>
      <c r="L1346" s="1">
        <v>0</v>
      </c>
      <c r="M1346" s="6" t="s">
        <v>2784</v>
      </c>
      <c r="N1346" s="1">
        <v>7</v>
      </c>
      <c r="O1346" s="1">
        <v>7</v>
      </c>
      <c r="P1346" t="s">
        <v>2778</v>
      </c>
      <c r="Q134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46" s="1" t="s">
        <v>2779</v>
      </c>
    </row>
    <row r="1347" spans="1:18" x14ac:dyDescent="0.25">
      <c r="A1347" t="s">
        <v>2595</v>
      </c>
      <c r="B1347" t="s">
        <v>2596</v>
      </c>
      <c r="C1347" s="1">
        <v>30</v>
      </c>
      <c r="I1347" s="1">
        <v>0</v>
      </c>
      <c r="J1347" s="1">
        <v>0</v>
      </c>
      <c r="K1347" s="1">
        <v>0</v>
      </c>
      <c r="L1347" s="1">
        <v>0</v>
      </c>
      <c r="M1347" s="6" t="s">
        <v>2784</v>
      </c>
      <c r="N1347" s="1">
        <v>25</v>
      </c>
      <c r="O1347" s="1">
        <v>25</v>
      </c>
      <c r="P1347" t="s">
        <v>2778</v>
      </c>
      <c r="Q134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47" s="1" t="s">
        <v>2779</v>
      </c>
    </row>
    <row r="1348" spans="1:18" x14ac:dyDescent="0.25">
      <c r="A1348" t="s">
        <v>1658</v>
      </c>
      <c r="B1348" t="s">
        <v>1659</v>
      </c>
      <c r="C1348" s="1">
        <v>8679</v>
      </c>
      <c r="D1348" s="1">
        <v>6</v>
      </c>
      <c r="E1348" s="1">
        <v>4</v>
      </c>
      <c r="G1348" s="1">
        <v>1</v>
      </c>
      <c r="H1348" s="1">
        <v>11</v>
      </c>
      <c r="I1348" s="1">
        <v>2</v>
      </c>
      <c r="J1348" s="1">
        <v>1</v>
      </c>
      <c r="L1348" s="1">
        <v>3</v>
      </c>
      <c r="M1348" s="6">
        <f>(Table2[[#This Row],[Grand Total of Lead Service Lines Replaced]]/(Table2[[#This Row],[Total to be identified or replaced]]+Table2[[#This Row],[Grand Total of Lead Service Lines Replaced]]))</f>
        <v>0.7857142857142857</v>
      </c>
      <c r="N1348" s="1">
        <v>1396</v>
      </c>
      <c r="O1348" s="1">
        <v>1399</v>
      </c>
      <c r="P1348" t="s">
        <v>2778</v>
      </c>
      <c r="Q134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48" s="7" t="s">
        <v>2786</v>
      </c>
    </row>
    <row r="1349" spans="1:18" x14ac:dyDescent="0.25">
      <c r="A1349" t="s">
        <v>2597</v>
      </c>
      <c r="B1349" t="s">
        <v>2598</v>
      </c>
      <c r="C1349" s="1">
        <v>5444</v>
      </c>
      <c r="I1349" s="1">
        <v>0</v>
      </c>
      <c r="J1349" s="1">
        <v>0</v>
      </c>
      <c r="K1349" s="1">
        <v>0</v>
      </c>
      <c r="L1349" s="1">
        <v>0</v>
      </c>
      <c r="M1349" s="6" t="s">
        <v>2784</v>
      </c>
      <c r="N1349" s="1">
        <v>2104</v>
      </c>
      <c r="O1349" s="1">
        <v>2104</v>
      </c>
      <c r="P1349" t="s">
        <v>2778</v>
      </c>
      <c r="Q134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49" s="1" t="s">
        <v>2779</v>
      </c>
    </row>
    <row r="1350" spans="1:18" x14ac:dyDescent="0.25">
      <c r="A1350" t="s">
        <v>2105</v>
      </c>
      <c r="B1350" t="s">
        <v>2106</v>
      </c>
      <c r="C1350" s="1">
        <v>3917</v>
      </c>
      <c r="D1350" s="1">
        <v>3</v>
      </c>
      <c r="E1350" s="1">
        <v>2</v>
      </c>
      <c r="H1350" s="1">
        <v>5</v>
      </c>
      <c r="I1350" s="1">
        <v>0</v>
      </c>
      <c r="J1350" s="1">
        <v>0</v>
      </c>
      <c r="K1350" s="1">
        <v>0</v>
      </c>
      <c r="L1350" s="1">
        <v>0</v>
      </c>
      <c r="M1350" s="6">
        <f>(Table2[[#This Row],[Grand Total of Lead Service Lines Replaced]]/(Table2[[#This Row],[Total to be identified or replaced]]+Table2[[#This Row],[Grand Total of Lead Service Lines Replaced]]))</f>
        <v>1</v>
      </c>
      <c r="N1350" s="1">
        <v>1419</v>
      </c>
      <c r="O1350" s="1">
        <v>1419</v>
      </c>
      <c r="P1350" t="s">
        <v>2778</v>
      </c>
      <c r="Q1350" t="s">
        <v>2785</v>
      </c>
      <c r="R1350" s="7" t="s">
        <v>2786</v>
      </c>
    </row>
    <row r="1351" spans="1:18" x14ac:dyDescent="0.25">
      <c r="A1351" t="s">
        <v>2738</v>
      </c>
      <c r="B1351" t="s">
        <v>2739</v>
      </c>
      <c r="C1351" s="1">
        <v>50</v>
      </c>
      <c r="L1351" s="1">
        <v>0</v>
      </c>
      <c r="M1351" s="6" t="s">
        <v>2784</v>
      </c>
      <c r="P1351" t="s">
        <v>2778</v>
      </c>
      <c r="Q1351" t="str">
        <f>IF(Table2[[#This Row],[Total Service Lines]]=0, "Inventory not received or not complete", IF(Table2[[#This Row],[Non-lead]]=Table2[[#This Row],[Total Service Lines]], "No Lead Lines Identified", "Needs Replacement"))</f>
        <v>Inventory not received or not complete</v>
      </c>
      <c r="R1351" s="1" t="s">
        <v>2782</v>
      </c>
    </row>
    <row r="1352" spans="1:18" x14ac:dyDescent="0.25">
      <c r="A1352" t="s">
        <v>1542</v>
      </c>
      <c r="B1352" t="s">
        <v>1543</v>
      </c>
      <c r="C1352" s="1">
        <v>147</v>
      </c>
      <c r="I1352" s="1">
        <v>0</v>
      </c>
      <c r="J1352" s="1">
        <v>0</v>
      </c>
      <c r="K1352" s="1">
        <v>0</v>
      </c>
      <c r="L1352" s="1">
        <v>0</v>
      </c>
      <c r="M1352" s="6" t="s">
        <v>2784</v>
      </c>
      <c r="N1352" s="1">
        <v>14</v>
      </c>
      <c r="O1352" s="1">
        <v>14</v>
      </c>
      <c r="P1352" t="s">
        <v>2778</v>
      </c>
      <c r="Q135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52" s="1" t="s">
        <v>2779</v>
      </c>
    </row>
    <row r="1353" spans="1:18" x14ac:dyDescent="0.25">
      <c r="A1353" t="s">
        <v>2599</v>
      </c>
      <c r="B1353" t="s">
        <v>2600</v>
      </c>
      <c r="C1353" s="1">
        <v>30</v>
      </c>
      <c r="I1353" s="1">
        <v>0</v>
      </c>
      <c r="J1353" s="1">
        <v>0</v>
      </c>
      <c r="K1353" s="1">
        <v>0</v>
      </c>
      <c r="L1353" s="1">
        <v>0</v>
      </c>
      <c r="M1353" s="6" t="s">
        <v>2784</v>
      </c>
      <c r="N1353" s="1">
        <v>17</v>
      </c>
      <c r="O1353" s="1">
        <v>17</v>
      </c>
      <c r="P1353" t="s">
        <v>2778</v>
      </c>
      <c r="Q135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53" s="1" t="s">
        <v>2779</v>
      </c>
    </row>
    <row r="1354" spans="1:18" x14ac:dyDescent="0.25">
      <c r="A1354" t="s">
        <v>2671</v>
      </c>
      <c r="B1354" t="s">
        <v>2672</v>
      </c>
      <c r="C1354" s="1">
        <v>950</v>
      </c>
      <c r="I1354" s="1">
        <v>0</v>
      </c>
      <c r="J1354" s="1">
        <v>0</v>
      </c>
      <c r="K1354" s="1">
        <v>0</v>
      </c>
      <c r="L1354" s="1">
        <v>0</v>
      </c>
      <c r="M1354" s="6" t="s">
        <v>2784</v>
      </c>
      <c r="N1354" s="1">
        <v>487</v>
      </c>
      <c r="O1354" s="1">
        <v>487</v>
      </c>
      <c r="P1354" t="s">
        <v>2778</v>
      </c>
      <c r="Q135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54" s="1" t="s">
        <v>2779</v>
      </c>
    </row>
    <row r="1355" spans="1:18" x14ac:dyDescent="0.25">
      <c r="A1355" t="s">
        <v>2653</v>
      </c>
      <c r="B1355" t="s">
        <v>2654</v>
      </c>
      <c r="C1355" s="1">
        <v>718</v>
      </c>
      <c r="I1355" s="1">
        <v>0</v>
      </c>
      <c r="J1355" s="1">
        <v>0</v>
      </c>
      <c r="K1355" s="1">
        <v>0</v>
      </c>
      <c r="L1355" s="1">
        <v>0</v>
      </c>
      <c r="M1355" s="6" t="s">
        <v>2784</v>
      </c>
      <c r="N1355" s="1">
        <v>471</v>
      </c>
      <c r="O1355" s="1">
        <v>471</v>
      </c>
      <c r="P1355" t="s">
        <v>2778</v>
      </c>
      <c r="Q135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55" s="1" t="s">
        <v>2779</v>
      </c>
    </row>
    <row r="1356" spans="1:18" x14ac:dyDescent="0.25">
      <c r="A1356" t="s">
        <v>2089</v>
      </c>
      <c r="B1356" t="s">
        <v>2090</v>
      </c>
      <c r="C1356" s="1">
        <v>2139</v>
      </c>
      <c r="E1356" s="1">
        <v>59</v>
      </c>
      <c r="F1356" s="1">
        <v>95</v>
      </c>
      <c r="G1356" s="1">
        <v>6</v>
      </c>
      <c r="H1356" s="1">
        <v>160</v>
      </c>
      <c r="I1356" s="1">
        <v>2</v>
      </c>
      <c r="J1356" s="1">
        <v>29</v>
      </c>
      <c r="K1356" s="1">
        <v>0</v>
      </c>
      <c r="L1356" s="1">
        <v>31</v>
      </c>
      <c r="M1356" s="6">
        <f>(Table2[[#This Row],[Grand Total of Lead Service Lines Replaced]]/(Table2[[#This Row],[Total to be identified or replaced]]+Table2[[#This Row],[Grand Total of Lead Service Lines Replaced]]))</f>
        <v>0.83769633507853403</v>
      </c>
      <c r="N1356" s="1">
        <v>901</v>
      </c>
      <c r="O1356" s="1">
        <v>932</v>
      </c>
      <c r="P1356" t="s">
        <v>2778</v>
      </c>
      <c r="Q1356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56" s="7" t="s">
        <v>2786</v>
      </c>
    </row>
    <row r="1357" spans="1:18" x14ac:dyDescent="0.25">
      <c r="A1357" t="s">
        <v>2601</v>
      </c>
      <c r="B1357" t="s">
        <v>2602</v>
      </c>
      <c r="C1357" s="1">
        <v>504</v>
      </c>
      <c r="I1357" s="1">
        <v>0</v>
      </c>
      <c r="J1357" s="1">
        <v>0</v>
      </c>
      <c r="K1357" s="1">
        <v>0</v>
      </c>
      <c r="L1357" s="1">
        <v>0</v>
      </c>
      <c r="M1357" s="6" t="s">
        <v>2784</v>
      </c>
      <c r="N1357" s="1">
        <v>250</v>
      </c>
      <c r="O1357" s="1">
        <v>250</v>
      </c>
      <c r="P1357" t="s">
        <v>2778</v>
      </c>
      <c r="Q135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57" s="1" t="s">
        <v>2779</v>
      </c>
    </row>
    <row r="1358" spans="1:18" x14ac:dyDescent="0.25">
      <c r="A1358" t="s">
        <v>1889</v>
      </c>
      <c r="B1358" t="s">
        <v>1890</v>
      </c>
      <c r="C1358" s="1">
        <v>1628</v>
      </c>
      <c r="E1358" s="1">
        <v>99</v>
      </c>
      <c r="F1358" s="1">
        <v>163</v>
      </c>
      <c r="H1358" s="1">
        <v>262</v>
      </c>
      <c r="I1358" s="1">
        <v>0</v>
      </c>
      <c r="J1358" s="1">
        <v>50</v>
      </c>
      <c r="K1358" s="1">
        <v>0</v>
      </c>
      <c r="L1358" s="1">
        <v>50</v>
      </c>
      <c r="M1358" s="6">
        <f>(Table2[[#This Row],[Grand Total of Lead Service Lines Replaced]]/(Table2[[#This Row],[Total to be identified or replaced]]+Table2[[#This Row],[Grand Total of Lead Service Lines Replaced]]))</f>
        <v>0.83974358974358976</v>
      </c>
      <c r="N1358" s="1">
        <v>556</v>
      </c>
      <c r="O1358" s="1">
        <v>606</v>
      </c>
      <c r="P1358" t="s">
        <v>2778</v>
      </c>
      <c r="Q1358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58" s="7" t="s">
        <v>2786</v>
      </c>
    </row>
    <row r="1359" spans="1:18" x14ac:dyDescent="0.25">
      <c r="A1359" t="s">
        <v>2714</v>
      </c>
      <c r="B1359" t="s">
        <v>2715</v>
      </c>
      <c r="C1359" s="1">
        <v>99</v>
      </c>
      <c r="I1359" s="1">
        <v>0</v>
      </c>
      <c r="J1359" s="1">
        <v>0</v>
      </c>
      <c r="K1359" s="1">
        <v>0</v>
      </c>
      <c r="L1359" s="1">
        <v>0</v>
      </c>
      <c r="M1359" s="6" t="s">
        <v>2784</v>
      </c>
      <c r="N1359" s="1">
        <v>45</v>
      </c>
      <c r="O1359" s="1">
        <v>45</v>
      </c>
      <c r="P1359" t="s">
        <v>2778</v>
      </c>
      <c r="Q135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59" s="1" t="s">
        <v>2779</v>
      </c>
    </row>
    <row r="1360" spans="1:18" x14ac:dyDescent="0.25">
      <c r="A1360" t="s">
        <v>2710</v>
      </c>
      <c r="B1360" t="s">
        <v>2711</v>
      </c>
      <c r="C1360" s="1">
        <v>348</v>
      </c>
      <c r="I1360" s="1">
        <v>0</v>
      </c>
      <c r="J1360" s="1">
        <v>0</v>
      </c>
      <c r="K1360" s="1">
        <v>0</v>
      </c>
      <c r="L1360" s="1">
        <v>0</v>
      </c>
      <c r="M1360" s="6" t="s">
        <v>2784</v>
      </c>
      <c r="N1360" s="1">
        <v>140</v>
      </c>
      <c r="O1360" s="1">
        <v>140</v>
      </c>
      <c r="P1360" t="s">
        <v>2778</v>
      </c>
      <c r="Q136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60" s="1" t="s">
        <v>2779</v>
      </c>
    </row>
    <row r="1361" spans="1:18" x14ac:dyDescent="0.25">
      <c r="A1361" t="s">
        <v>1236</v>
      </c>
      <c r="B1361" t="s">
        <v>1237</v>
      </c>
      <c r="C1361" s="1">
        <v>2550</v>
      </c>
      <c r="D1361" s="1">
        <v>39</v>
      </c>
      <c r="H1361" s="1">
        <v>39</v>
      </c>
      <c r="I1361" s="1">
        <v>0</v>
      </c>
      <c r="J1361" s="1">
        <v>7</v>
      </c>
      <c r="K1361" s="1">
        <v>0</v>
      </c>
      <c r="L1361" s="1">
        <v>7</v>
      </c>
      <c r="M1361" s="6">
        <f>(Table2[[#This Row],[Grand Total of Lead Service Lines Replaced]]/(Table2[[#This Row],[Total to be identified or replaced]]+Table2[[#This Row],[Grand Total of Lead Service Lines Replaced]]))</f>
        <v>0.84782608695652173</v>
      </c>
      <c r="N1361" s="1">
        <v>907</v>
      </c>
      <c r="O1361" s="1">
        <v>914</v>
      </c>
      <c r="P1361" t="s">
        <v>2778</v>
      </c>
      <c r="Q1361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61" s="7" t="s">
        <v>2786</v>
      </c>
    </row>
    <row r="1362" spans="1:18" x14ac:dyDescent="0.25">
      <c r="A1362" t="s">
        <v>2605</v>
      </c>
      <c r="B1362" t="s">
        <v>2606</v>
      </c>
      <c r="C1362" s="1">
        <v>12875</v>
      </c>
      <c r="I1362" s="1">
        <v>0</v>
      </c>
      <c r="J1362" s="1">
        <v>0</v>
      </c>
      <c r="K1362" s="1">
        <v>0</v>
      </c>
      <c r="L1362" s="1">
        <v>0</v>
      </c>
      <c r="M1362" s="6" t="s">
        <v>2784</v>
      </c>
      <c r="N1362" s="1">
        <v>3905</v>
      </c>
      <c r="O1362" s="1">
        <v>3905</v>
      </c>
      <c r="P1362" t="s">
        <v>2778</v>
      </c>
      <c r="Q136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62" s="1" t="s">
        <v>2779</v>
      </c>
    </row>
    <row r="1363" spans="1:18" x14ac:dyDescent="0.25">
      <c r="A1363" t="s">
        <v>2549</v>
      </c>
      <c r="B1363" t="s">
        <v>2550</v>
      </c>
      <c r="C1363" s="1">
        <v>210</v>
      </c>
      <c r="I1363" s="1">
        <v>0</v>
      </c>
      <c r="J1363" s="1">
        <v>0</v>
      </c>
      <c r="L1363" s="1">
        <v>0</v>
      </c>
      <c r="M1363" s="6" t="s">
        <v>2784</v>
      </c>
      <c r="N1363" s="1">
        <v>10</v>
      </c>
      <c r="O1363" s="1">
        <v>10</v>
      </c>
      <c r="P1363" t="s">
        <v>2778</v>
      </c>
      <c r="Q136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63" s="1" t="s">
        <v>2779</v>
      </c>
    </row>
    <row r="1364" spans="1:18" x14ac:dyDescent="0.25">
      <c r="A1364" t="s">
        <v>2681</v>
      </c>
      <c r="B1364" t="s">
        <v>2682</v>
      </c>
      <c r="C1364" s="1">
        <v>268</v>
      </c>
      <c r="I1364" s="1">
        <v>0</v>
      </c>
      <c r="J1364" s="1">
        <v>0</v>
      </c>
      <c r="K1364" s="1">
        <v>0</v>
      </c>
      <c r="L1364" s="1">
        <v>0</v>
      </c>
      <c r="M1364" s="6" t="s">
        <v>2784</v>
      </c>
      <c r="N1364" s="1">
        <v>107</v>
      </c>
      <c r="O1364" s="1">
        <v>107</v>
      </c>
      <c r="P1364" t="s">
        <v>2778</v>
      </c>
      <c r="Q136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64" s="1" t="s">
        <v>2779</v>
      </c>
    </row>
    <row r="1365" spans="1:18" x14ac:dyDescent="0.25">
      <c r="A1365" t="s">
        <v>2746</v>
      </c>
      <c r="B1365" t="s">
        <v>2747</v>
      </c>
      <c r="C1365" s="1">
        <v>125</v>
      </c>
      <c r="L1365" s="1">
        <v>0</v>
      </c>
      <c r="M1365" s="6" t="s">
        <v>2784</v>
      </c>
      <c r="N1365" s="1">
        <v>63</v>
      </c>
      <c r="O1365" s="1">
        <v>63</v>
      </c>
      <c r="P1365" t="s">
        <v>2778</v>
      </c>
      <c r="Q136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65" s="1" t="s">
        <v>2779</v>
      </c>
    </row>
    <row r="1366" spans="1:18" x14ac:dyDescent="0.25">
      <c r="A1366" t="s">
        <v>2607</v>
      </c>
      <c r="B1366" t="s">
        <v>2608</v>
      </c>
      <c r="C1366" s="1">
        <v>16</v>
      </c>
      <c r="I1366" s="1">
        <v>0</v>
      </c>
      <c r="J1366" s="1">
        <v>0</v>
      </c>
      <c r="K1366" s="1">
        <v>0</v>
      </c>
      <c r="L1366" s="1">
        <v>0</v>
      </c>
      <c r="M1366" s="6" t="s">
        <v>2784</v>
      </c>
      <c r="N1366" s="1">
        <v>1</v>
      </c>
      <c r="O1366" s="1">
        <v>1</v>
      </c>
      <c r="P1366" t="s">
        <v>2778</v>
      </c>
      <c r="Q1366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66" s="1" t="s">
        <v>2779</v>
      </c>
    </row>
    <row r="1367" spans="1:18" x14ac:dyDescent="0.25">
      <c r="A1367" t="s">
        <v>2734</v>
      </c>
      <c r="B1367" t="s">
        <v>2735</v>
      </c>
      <c r="C1367" s="1">
        <v>1080</v>
      </c>
      <c r="I1367" s="1">
        <v>0</v>
      </c>
      <c r="J1367" s="1">
        <v>0</v>
      </c>
      <c r="K1367" s="1">
        <v>0</v>
      </c>
      <c r="L1367" s="1">
        <v>0</v>
      </c>
      <c r="M1367" s="6" t="s">
        <v>2784</v>
      </c>
      <c r="N1367" s="1">
        <v>544</v>
      </c>
      <c r="O1367" s="1">
        <v>544</v>
      </c>
      <c r="P1367" t="s">
        <v>2778</v>
      </c>
      <c r="Q1367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67" s="1" t="s">
        <v>2779</v>
      </c>
    </row>
    <row r="1368" spans="1:18" x14ac:dyDescent="0.25">
      <c r="A1368" t="s">
        <v>2698</v>
      </c>
      <c r="B1368" t="s">
        <v>2699</v>
      </c>
      <c r="C1368" s="1">
        <v>650</v>
      </c>
      <c r="I1368" s="1">
        <v>0</v>
      </c>
      <c r="J1368" s="1">
        <v>0</v>
      </c>
      <c r="K1368" s="1">
        <v>0</v>
      </c>
      <c r="L1368" s="1">
        <v>0</v>
      </c>
      <c r="M1368" s="6" t="s">
        <v>2784</v>
      </c>
      <c r="N1368" s="1">
        <v>374</v>
      </c>
      <c r="O1368" s="1">
        <v>374</v>
      </c>
      <c r="P1368" t="s">
        <v>2778</v>
      </c>
      <c r="Q136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68" s="1" t="s">
        <v>2779</v>
      </c>
    </row>
    <row r="1369" spans="1:18" x14ac:dyDescent="0.25">
      <c r="A1369" t="s">
        <v>2744</v>
      </c>
      <c r="B1369" t="s">
        <v>2745</v>
      </c>
      <c r="C1369" s="1">
        <v>95</v>
      </c>
      <c r="L1369" s="1">
        <v>0</v>
      </c>
      <c r="M1369" s="6" t="s">
        <v>2784</v>
      </c>
      <c r="N1369" s="1">
        <v>60</v>
      </c>
      <c r="O1369" s="1">
        <v>60</v>
      </c>
      <c r="P1369" t="s">
        <v>2778</v>
      </c>
      <c r="Q136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69" s="1" t="s">
        <v>2779</v>
      </c>
    </row>
    <row r="1370" spans="1:18" x14ac:dyDescent="0.25">
      <c r="A1370" t="s">
        <v>2726</v>
      </c>
      <c r="B1370" t="s">
        <v>2727</v>
      </c>
      <c r="C1370" s="1">
        <v>528</v>
      </c>
      <c r="I1370" s="1">
        <v>0</v>
      </c>
      <c r="J1370" s="1">
        <v>0</v>
      </c>
      <c r="K1370" s="1">
        <v>0</v>
      </c>
      <c r="L1370" s="1">
        <v>0</v>
      </c>
      <c r="M1370" s="6" t="s">
        <v>2784</v>
      </c>
      <c r="N1370" s="1">
        <v>324</v>
      </c>
      <c r="O1370" s="1">
        <v>324</v>
      </c>
      <c r="P1370" t="s">
        <v>2778</v>
      </c>
      <c r="Q137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70" s="1" t="s">
        <v>2779</v>
      </c>
    </row>
    <row r="1371" spans="1:18" x14ac:dyDescent="0.25">
      <c r="A1371" t="s">
        <v>2748</v>
      </c>
      <c r="B1371" t="s">
        <v>2749</v>
      </c>
      <c r="C1371" s="1">
        <v>185</v>
      </c>
      <c r="I1371" s="1">
        <v>0</v>
      </c>
      <c r="J1371" s="1">
        <v>0</v>
      </c>
      <c r="K1371" s="1">
        <v>0</v>
      </c>
      <c r="L1371" s="1">
        <v>0</v>
      </c>
      <c r="M1371" s="6" t="s">
        <v>2784</v>
      </c>
      <c r="N1371" s="1">
        <v>72</v>
      </c>
      <c r="O1371" s="1">
        <v>72</v>
      </c>
      <c r="P1371">
        <v>2025</v>
      </c>
      <c r="Q137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71" s="1" t="s">
        <v>2779</v>
      </c>
    </row>
    <row r="1372" spans="1:18" x14ac:dyDescent="0.25">
      <c r="A1372" t="s">
        <v>2750</v>
      </c>
      <c r="B1372" t="s">
        <v>2751</v>
      </c>
      <c r="C1372" s="1">
        <v>2</v>
      </c>
      <c r="I1372" s="1">
        <v>0</v>
      </c>
      <c r="J1372" s="1">
        <v>0</v>
      </c>
      <c r="K1372" s="1">
        <v>0</v>
      </c>
      <c r="L1372" s="1">
        <v>0</v>
      </c>
      <c r="M1372" s="6" t="s">
        <v>2784</v>
      </c>
      <c r="N1372" s="1">
        <v>1</v>
      </c>
      <c r="O1372" s="1">
        <v>1</v>
      </c>
      <c r="P1372" t="s">
        <v>2778</v>
      </c>
      <c r="Q1372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72" s="1" t="s">
        <v>2779</v>
      </c>
    </row>
    <row r="1373" spans="1:18" x14ac:dyDescent="0.25">
      <c r="A1373" t="s">
        <v>2752</v>
      </c>
      <c r="B1373" t="s">
        <v>2753</v>
      </c>
      <c r="C1373" s="1">
        <v>3854</v>
      </c>
      <c r="I1373" s="1">
        <v>0</v>
      </c>
      <c r="J1373" s="1">
        <v>0</v>
      </c>
      <c r="K1373" s="1">
        <v>0</v>
      </c>
      <c r="L1373" s="1">
        <v>0</v>
      </c>
      <c r="M1373" s="6" t="s">
        <v>2784</v>
      </c>
      <c r="N1373" s="1">
        <v>1937</v>
      </c>
      <c r="O1373" s="1">
        <v>1937</v>
      </c>
      <c r="P1373" t="s">
        <v>2778</v>
      </c>
      <c r="Q1373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73" s="1" t="s">
        <v>2779</v>
      </c>
    </row>
    <row r="1374" spans="1:18" x14ac:dyDescent="0.25">
      <c r="A1374" t="s">
        <v>961</v>
      </c>
      <c r="B1374" t="s">
        <v>962</v>
      </c>
      <c r="C1374" s="1">
        <v>4519</v>
      </c>
      <c r="D1374" s="1">
        <v>5</v>
      </c>
      <c r="E1374" s="1">
        <v>14</v>
      </c>
      <c r="F1374" s="1">
        <v>33</v>
      </c>
      <c r="G1374" s="1">
        <v>18</v>
      </c>
      <c r="H1374" s="1">
        <v>70</v>
      </c>
      <c r="I1374" s="1">
        <v>0</v>
      </c>
      <c r="J1374" s="1">
        <v>8</v>
      </c>
      <c r="K1374" s="1">
        <v>0</v>
      </c>
      <c r="L1374" s="1">
        <v>8</v>
      </c>
      <c r="M1374" s="6">
        <f>(Table2[[#This Row],[Grand Total of Lead Service Lines Replaced]]/(Table2[[#This Row],[Total to be identified or replaced]]+Table2[[#This Row],[Grand Total of Lead Service Lines Replaced]]))</f>
        <v>0.89743589743589747</v>
      </c>
      <c r="N1374" s="1">
        <v>1442</v>
      </c>
      <c r="O1374" s="1">
        <v>1450</v>
      </c>
      <c r="P1374" t="s">
        <v>2778</v>
      </c>
      <c r="Q1374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74" s="7" t="s">
        <v>2786</v>
      </c>
    </row>
    <row r="1375" spans="1:18" x14ac:dyDescent="0.25">
      <c r="A1375" t="s">
        <v>2756</v>
      </c>
      <c r="B1375" t="s">
        <v>2757</v>
      </c>
      <c r="C1375" s="1">
        <v>1146</v>
      </c>
      <c r="I1375" s="1">
        <v>0</v>
      </c>
      <c r="J1375" s="1">
        <v>0</v>
      </c>
      <c r="K1375" s="1">
        <v>0</v>
      </c>
      <c r="L1375" s="1">
        <v>0</v>
      </c>
      <c r="M1375" s="6" t="s">
        <v>2784</v>
      </c>
      <c r="N1375" s="1">
        <v>359</v>
      </c>
      <c r="O1375" s="1">
        <v>359</v>
      </c>
      <c r="P1375" t="s">
        <v>2778</v>
      </c>
      <c r="Q1375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75" s="1" t="s">
        <v>2779</v>
      </c>
    </row>
    <row r="1376" spans="1:18" x14ac:dyDescent="0.25">
      <c r="A1376" t="s">
        <v>2758</v>
      </c>
      <c r="B1376" t="s">
        <v>2759</v>
      </c>
      <c r="C1376" s="1">
        <v>72125</v>
      </c>
      <c r="D1376" s="1">
        <v>2</v>
      </c>
      <c r="H1376" s="1">
        <v>2</v>
      </c>
      <c r="L1376" s="1">
        <v>0</v>
      </c>
      <c r="M1376" s="6">
        <f>(Table2[[#This Row],[Grand Total of Lead Service Lines Replaced]]/(Table2[[#This Row],[Total to be identified or replaced]]+Table2[[#This Row],[Grand Total of Lead Service Lines Replaced]]))</f>
        <v>1</v>
      </c>
      <c r="N1376" s="1">
        <v>23407</v>
      </c>
      <c r="O1376" s="1">
        <v>23407</v>
      </c>
      <c r="P1376" t="s">
        <v>2778</v>
      </c>
      <c r="Q1376" t="s">
        <v>2785</v>
      </c>
      <c r="R1376" s="7" t="s">
        <v>2786</v>
      </c>
    </row>
    <row r="1377" spans="1:18" x14ac:dyDescent="0.25">
      <c r="A1377" t="s">
        <v>2589</v>
      </c>
      <c r="B1377" t="s">
        <v>2590</v>
      </c>
      <c r="C1377" s="1">
        <v>3833</v>
      </c>
      <c r="D1377" s="1">
        <v>2</v>
      </c>
      <c r="F1377" s="1">
        <v>15</v>
      </c>
      <c r="H1377" s="1">
        <v>17</v>
      </c>
      <c r="I1377" s="1">
        <v>0</v>
      </c>
      <c r="J1377" s="1">
        <v>0</v>
      </c>
      <c r="K1377" s="1">
        <v>1</v>
      </c>
      <c r="L1377" s="1">
        <v>1</v>
      </c>
      <c r="M1377" s="6">
        <f>(Table2[[#This Row],[Grand Total of Lead Service Lines Replaced]]/(Table2[[#This Row],[Total to be identified or replaced]]+Table2[[#This Row],[Grand Total of Lead Service Lines Replaced]]))</f>
        <v>0.94444444444444442</v>
      </c>
      <c r="N1377" s="1">
        <v>1693</v>
      </c>
      <c r="O1377" s="1">
        <v>1694</v>
      </c>
      <c r="P1377" t="s">
        <v>2778</v>
      </c>
      <c r="Q1377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77" s="7" t="s">
        <v>2786</v>
      </c>
    </row>
    <row r="1378" spans="1:18" x14ac:dyDescent="0.25">
      <c r="A1378" t="s">
        <v>2762</v>
      </c>
      <c r="B1378" t="s">
        <v>2763</v>
      </c>
      <c r="C1378" s="1">
        <v>710</v>
      </c>
      <c r="I1378" s="1">
        <v>0</v>
      </c>
      <c r="J1378" s="1">
        <v>0</v>
      </c>
      <c r="K1378" s="1">
        <v>0</v>
      </c>
      <c r="L1378" s="1">
        <v>0</v>
      </c>
      <c r="M1378" s="6" t="s">
        <v>2784</v>
      </c>
      <c r="N1378" s="1">
        <v>274</v>
      </c>
      <c r="O1378" s="1">
        <v>274</v>
      </c>
      <c r="P1378" t="s">
        <v>2778</v>
      </c>
      <c r="Q1378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78" s="1" t="s">
        <v>2779</v>
      </c>
    </row>
    <row r="1379" spans="1:18" x14ac:dyDescent="0.25">
      <c r="A1379" t="s">
        <v>2764</v>
      </c>
      <c r="B1379" t="s">
        <v>2765</v>
      </c>
      <c r="C1379" s="1">
        <v>660</v>
      </c>
      <c r="I1379" s="1">
        <v>0</v>
      </c>
      <c r="J1379" s="1">
        <v>0</v>
      </c>
      <c r="K1379" s="1">
        <v>0</v>
      </c>
      <c r="L1379" s="1">
        <v>0</v>
      </c>
      <c r="M1379" s="6" t="s">
        <v>2784</v>
      </c>
      <c r="N1379" s="1">
        <v>278</v>
      </c>
      <c r="O1379" s="1">
        <v>278</v>
      </c>
      <c r="P1379" t="s">
        <v>2778</v>
      </c>
      <c r="Q1379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79" s="1" t="s">
        <v>2779</v>
      </c>
    </row>
    <row r="1380" spans="1:18" x14ac:dyDescent="0.25">
      <c r="A1380" t="s">
        <v>2766</v>
      </c>
      <c r="B1380" t="s">
        <v>2767</v>
      </c>
      <c r="C1380" s="1">
        <v>90</v>
      </c>
      <c r="L1380" s="1">
        <v>0</v>
      </c>
      <c r="M1380" s="6" t="s">
        <v>2784</v>
      </c>
      <c r="N1380" s="1">
        <v>4</v>
      </c>
      <c r="O1380" s="1">
        <v>4</v>
      </c>
      <c r="P1380" t="s">
        <v>2778</v>
      </c>
      <c r="Q1380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80" s="1" t="s">
        <v>2779</v>
      </c>
    </row>
    <row r="1381" spans="1:18" x14ac:dyDescent="0.25">
      <c r="A1381" t="s">
        <v>2768</v>
      </c>
      <c r="B1381" t="s">
        <v>2769</v>
      </c>
      <c r="C1381" s="1">
        <v>74</v>
      </c>
      <c r="I1381" s="1">
        <v>0</v>
      </c>
      <c r="J1381" s="1">
        <v>0</v>
      </c>
      <c r="K1381" s="1">
        <v>0</v>
      </c>
      <c r="L1381" s="1">
        <v>0</v>
      </c>
      <c r="M1381" s="6" t="s">
        <v>2784</v>
      </c>
      <c r="N1381" s="1">
        <v>11</v>
      </c>
      <c r="O1381" s="1">
        <v>11</v>
      </c>
      <c r="P1381" t="s">
        <v>2778</v>
      </c>
      <c r="Q1381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81" s="1" t="s">
        <v>2779</v>
      </c>
    </row>
    <row r="1382" spans="1:18" x14ac:dyDescent="0.25">
      <c r="A1382" t="s">
        <v>2049</v>
      </c>
      <c r="B1382" t="s">
        <v>2050</v>
      </c>
      <c r="C1382" s="1">
        <v>604</v>
      </c>
      <c r="D1382" s="1">
        <v>1</v>
      </c>
      <c r="E1382" s="1">
        <v>182</v>
      </c>
      <c r="H1382" s="1">
        <v>183</v>
      </c>
      <c r="I1382" s="1">
        <v>0</v>
      </c>
      <c r="J1382" s="1">
        <v>4</v>
      </c>
      <c r="K1382" s="1">
        <v>0</v>
      </c>
      <c r="L1382" s="1">
        <v>4</v>
      </c>
      <c r="M1382" s="6">
        <f>(Table2[[#This Row],[Grand Total of Lead Service Lines Replaced]]/(Table2[[#This Row],[Total to be identified or replaced]]+Table2[[#This Row],[Grand Total of Lead Service Lines Replaced]]))</f>
        <v>0.97860962566844922</v>
      </c>
      <c r="N1382" s="1">
        <v>278</v>
      </c>
      <c r="O1382" s="1">
        <v>282</v>
      </c>
      <c r="P1382" t="s">
        <v>2778</v>
      </c>
      <c r="Q1382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82" s="7" t="s">
        <v>2786</v>
      </c>
    </row>
    <row r="1383" spans="1:18" x14ac:dyDescent="0.25">
      <c r="A1383" t="s">
        <v>1825</v>
      </c>
      <c r="B1383" t="s">
        <v>1826</v>
      </c>
      <c r="C1383" s="1">
        <v>8841</v>
      </c>
      <c r="D1383" s="1">
        <v>1</v>
      </c>
      <c r="E1383" s="1">
        <v>1</v>
      </c>
      <c r="F1383" s="1">
        <v>111</v>
      </c>
      <c r="G1383" s="1">
        <v>21</v>
      </c>
      <c r="H1383" s="1">
        <v>134</v>
      </c>
      <c r="I1383" s="1">
        <v>1</v>
      </c>
      <c r="J1383" s="1">
        <v>0</v>
      </c>
      <c r="K1383" s="1">
        <v>0</v>
      </c>
      <c r="L1383" s="1">
        <v>1</v>
      </c>
      <c r="M1383" s="6">
        <f>(Table2[[#This Row],[Grand Total of Lead Service Lines Replaced]]/(Table2[[#This Row],[Total to be identified or replaced]]+Table2[[#This Row],[Grand Total of Lead Service Lines Replaced]]))</f>
        <v>0.99259259259259258</v>
      </c>
      <c r="N1383" s="1">
        <v>3558</v>
      </c>
      <c r="O1383" s="1">
        <v>3559</v>
      </c>
      <c r="P1383">
        <v>2019</v>
      </c>
      <c r="Q1383" t="str">
        <f>IF(Table2[[#This Row],[Total Service Lines]]=0, "Inventory not received or not complete", IF(Table2[[#This Row],[Non-lead]]=Table2[[#This Row],[Total Service Lines]], "No Lead Lines Identified", "Needs Replacement"))</f>
        <v>Needs Replacement</v>
      </c>
      <c r="R1383" s="7" t="s">
        <v>2786</v>
      </c>
    </row>
    <row r="1384" spans="1:18" x14ac:dyDescent="0.25">
      <c r="A1384" t="s">
        <v>2774</v>
      </c>
      <c r="B1384" t="s">
        <v>2775</v>
      </c>
      <c r="C1384" s="1">
        <v>1534</v>
      </c>
      <c r="I1384" s="1">
        <v>0</v>
      </c>
      <c r="J1384" s="1">
        <v>0</v>
      </c>
      <c r="K1384" s="1">
        <v>0</v>
      </c>
      <c r="L1384" s="1">
        <v>0</v>
      </c>
      <c r="M1384" s="6" t="s">
        <v>2784</v>
      </c>
      <c r="N1384" s="1">
        <v>770</v>
      </c>
      <c r="O1384" s="1">
        <v>770</v>
      </c>
      <c r="P1384" t="s">
        <v>2778</v>
      </c>
      <c r="Q1384" t="str">
        <f>IF(Table2[[#This Row],[Total Service Lines]]=0, "Inventory not received or not complete", IF(Table2[[#This Row],[Non-lead]]=Table2[[#This Row],[Total Service Lines]], "No Lead Lines Identified", "Needs Replacement"))</f>
        <v>No Lead Lines Identified</v>
      </c>
      <c r="R1384" s="1" t="s">
        <v>2779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3FC234-CC0A-4FEA-9D5A-4B9B79F387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Betanzo</dc:creator>
  <cp:lastModifiedBy>Elin Betanzo</cp:lastModifiedBy>
  <dcterms:created xsi:type="dcterms:W3CDTF">2025-10-11T00:28:46Z</dcterms:created>
  <dcterms:modified xsi:type="dcterms:W3CDTF">2025-11-25T20:31:15Z</dcterms:modified>
</cp:coreProperties>
</file>